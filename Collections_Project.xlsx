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swal\OneDrive\Desktop\"/>
    </mc:Choice>
  </mc:AlternateContent>
  <xr:revisionPtr revIDLastSave="0" documentId="13_ncr:1_{8864B0C9-D6AB-4679-92F1-2A2C9F1E5FB6}" xr6:coauthVersionLast="47" xr6:coauthVersionMax="47" xr10:uidLastSave="{00000000-0000-0000-0000-000000000000}"/>
  <bookViews>
    <workbookView xWindow="-110" yWindow="-110" windowWidth="25820" windowHeight="15500" activeTab="2" xr2:uid="{16D02562-492A-4B3B-A0FE-4C21FBA70D56}"/>
  </bookViews>
  <sheets>
    <sheet name="Dashboard" sheetId="9" r:id="rId1"/>
    <sheet name="Pivot" sheetId="3" r:id="rId2"/>
    <sheet name="Account_data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9" l="1"/>
  <c r="F2" i="9"/>
  <c r="E2" i="9"/>
  <c r="H2" i="1"/>
  <c r="H2" i="9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</calcChain>
</file>

<file path=xl/sharedStrings.xml><?xml version="1.0" encoding="utf-8"?>
<sst xmlns="http://schemas.openxmlformats.org/spreadsheetml/2006/main" count="550" uniqueCount="45">
  <si>
    <t>Account_ID</t>
  </si>
  <si>
    <t>Agent_Name</t>
  </si>
  <si>
    <t>Amount_Assigned</t>
  </si>
  <si>
    <t>Amount_Recovered</t>
  </si>
  <si>
    <t>Contact_Attempts</t>
  </si>
  <si>
    <t>Month</t>
  </si>
  <si>
    <t>Risk_Level</t>
  </si>
  <si>
    <t>John</t>
  </si>
  <si>
    <t>Jan</t>
  </si>
  <si>
    <t>High</t>
  </si>
  <si>
    <t>Sarah</t>
  </si>
  <si>
    <t>Low</t>
  </si>
  <si>
    <t>Amit</t>
  </si>
  <si>
    <t>Feb</t>
  </si>
  <si>
    <t>Medium</t>
  </si>
  <si>
    <t>Mar</t>
  </si>
  <si>
    <t>Apr</t>
  </si>
  <si>
    <t>May</t>
  </si>
  <si>
    <t>Jun</t>
  </si>
  <si>
    <t>Jul</t>
  </si>
  <si>
    <t>Recovery_Rate = Amount_Recovered / Amount_Assigned</t>
  </si>
  <si>
    <t>Grand Total</t>
  </si>
  <si>
    <t>Sum of Amount_Assigned</t>
  </si>
  <si>
    <t>Sum of Amount_Recovered</t>
  </si>
  <si>
    <t>David</t>
  </si>
  <si>
    <t>Priya</t>
  </si>
  <si>
    <t>Recovery %</t>
  </si>
  <si>
    <t xml:space="preserve">Recovery%_Level </t>
  </si>
  <si>
    <t>Region</t>
  </si>
  <si>
    <t>Account_Age_Days</t>
  </si>
  <si>
    <t>Promise_To_Pay (Yes/No)</t>
  </si>
  <si>
    <t>Resolution_Status (Recovered / Partially Recovered / Unrecovered)</t>
  </si>
  <si>
    <t>New York</t>
  </si>
  <si>
    <t>Yes</t>
  </si>
  <si>
    <t>Partially Recovered</t>
  </si>
  <si>
    <t>Los Angeles</t>
  </si>
  <si>
    <t>Recovered</t>
  </si>
  <si>
    <t>Chicago</t>
  </si>
  <si>
    <t>No</t>
  </si>
  <si>
    <t>Houston</t>
  </si>
  <si>
    <t>Phoenix</t>
  </si>
  <si>
    <t>Total Assigned</t>
  </si>
  <si>
    <t>Total Recovered</t>
  </si>
  <si>
    <t>Overall Recovery Rate</t>
  </si>
  <si>
    <t>Total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</si>
</sst>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10" fontId="0" fillId="0" borderId="1" xfId="0" applyNumberForma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0" fontId="0" fillId="0" borderId="8" xfId="1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3" fillId="0" borderId="1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55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[Collections_Project.xlsx]Dashboard!PivotTable2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>
                <a:solidFill>
                  <a:sysClr val="windowText" lastClr="000000"/>
                </a:solidFill>
              </a:rPr>
              <a:t>RECOVERY RATE BY AGENT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777777777777776E-2"/>
          <c:y val="0.18097222222222226"/>
          <c:w val="0.93888888888888888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Dashboard!$A$5:$A$10</c:f>
              <c:strCache>
                <c:ptCount val="5"/>
                <c:pt idx="0">
                  <c:v>John</c:v>
                </c:pt>
                <c:pt idx="1">
                  <c:v>Sarah</c:v>
                </c:pt>
                <c:pt idx="2">
                  <c:v>Priya</c:v>
                </c:pt>
                <c:pt idx="3">
                  <c:v>Amit</c:v>
                </c:pt>
                <c:pt idx="4">
                  <c:v>David</c:v>
                </c:pt>
              </c:strCache>
            </c:strRef>
          </c:cat>
          <c:val>
            <c:numRef>
              <c:f>Dashboard!$B$5:$B$10</c:f>
              <c:numCache>
                <c:formatCode>0.00%</c:formatCode>
                <c:ptCount val="5"/>
                <c:pt idx="0">
                  <c:v>0.7023096663815227</c:v>
                </c:pt>
                <c:pt idx="1">
                  <c:v>0.66637478108581438</c:v>
                </c:pt>
                <c:pt idx="2">
                  <c:v>0.65472910927456385</c:v>
                </c:pt>
                <c:pt idx="3">
                  <c:v>0.6007944389275075</c:v>
                </c:pt>
                <c:pt idx="4">
                  <c:v>0.5589094449853943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2-4B40-8A07-3BC25DF12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85424"/>
        <c:axId val="14682064"/>
      </c:barChart>
      <c:catAx>
        <c:axId val="1468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2064"/>
        <c:crosses val="autoZero"/>
        <c:auto val="1"/>
        <c:lblAlgn val="ctr"/>
        <c:lblOffset val="100"/>
        <c:noMultiLvlLbl val="0"/>
      </c:catAx>
      <c:valAx>
        <c:axId val="14682064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468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[Collections_Project.xlsx]Dashboard!PivotTable6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>
                <a:solidFill>
                  <a:sysClr val="windowText" lastClr="000000"/>
                </a:solidFill>
              </a:rPr>
              <a:t>RECOVERY RATE BY RISK LEVEL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Dashboard!$A$16:$A$19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Dashboard!$B$16:$B$19</c:f>
              <c:numCache>
                <c:formatCode>0.00%</c:formatCode>
                <c:ptCount val="3"/>
                <c:pt idx="0">
                  <c:v>0.33299798792756541</c:v>
                </c:pt>
                <c:pt idx="1">
                  <c:v>0.64079320113314453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A-4C38-875C-04A7967B13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7042768"/>
        <c:axId val="236129424"/>
      </c:barChart>
      <c:catAx>
        <c:axId val="93704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129424"/>
        <c:crosses val="autoZero"/>
        <c:auto val="1"/>
        <c:lblAlgn val="ctr"/>
        <c:lblOffset val="100"/>
        <c:noMultiLvlLbl val="0"/>
      </c:catAx>
      <c:valAx>
        <c:axId val="23612942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93704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[Collections_Project.xlsx]Dashboard!PivotTable7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MONTHLY</a:t>
            </a:r>
            <a:r>
              <a:rPr lang="en-US" b="1" baseline="0">
                <a:solidFill>
                  <a:sysClr val="windowText" lastClr="000000"/>
                </a:solidFill>
              </a:rPr>
              <a:t> RECOVERY TREND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Dashboard!$B$24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Dashboard!$A$25:$A$32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Dashboard!$B$25:$B$32</c:f>
              <c:numCache>
                <c:formatCode>0.00%</c:formatCode>
                <c:ptCount val="7"/>
                <c:pt idx="0">
                  <c:v>0.61879194630872481</c:v>
                </c:pt>
                <c:pt idx="1">
                  <c:v>0.60228898426323318</c:v>
                </c:pt>
                <c:pt idx="2">
                  <c:v>0.67952127659574468</c:v>
                </c:pt>
                <c:pt idx="3">
                  <c:v>0.63423645320197042</c:v>
                </c:pt>
                <c:pt idx="4">
                  <c:v>0.61111111111111116</c:v>
                </c:pt>
                <c:pt idx="5">
                  <c:v>0.64727272727272722</c:v>
                </c:pt>
                <c:pt idx="6">
                  <c:v>0.67737948084054389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6-459F-99DB-C813E4E3AD7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5936928"/>
        <c:axId val="285916256"/>
      </c:lineChart>
      <c:catAx>
        <c:axId val="25593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916256"/>
        <c:crosses val="autoZero"/>
        <c:auto val="1"/>
        <c:lblAlgn val="ctr"/>
        <c:lblOffset val="100"/>
        <c:noMultiLvlLbl val="0"/>
      </c:catAx>
      <c:valAx>
        <c:axId val="28591625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5593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34</xdr:row>
      <xdr:rowOff>152400</xdr:rowOff>
    </xdr:from>
    <xdr:to>
      <xdr:col>5</xdr:col>
      <xdr:colOff>165100</xdr:colOff>
      <xdr:row>49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55F678-6CB3-632E-188D-3069EC23D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987425</xdr:colOff>
      <xdr:row>34</xdr:row>
      <xdr:rowOff>158750</xdr:rowOff>
    </xdr:from>
    <xdr:to>
      <xdr:col>12</xdr:col>
      <xdr:colOff>180975</xdr:colOff>
      <xdr:row>49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427446-F930-6C21-1D74-C59FCBE4E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1082675</xdr:colOff>
      <xdr:row>51</xdr:row>
      <xdr:rowOff>38100</xdr:rowOff>
    </xdr:from>
    <xdr:to>
      <xdr:col>7</xdr:col>
      <xdr:colOff>942975</xdr:colOff>
      <xdr:row>66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BE7969-D558-58D6-36B4-64568F044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177800</xdr:rowOff>
    </xdr:from>
    <xdr:to>
      <xdr:col>13</xdr:col>
      <xdr:colOff>12700</xdr:colOff>
      <xdr:row>9</xdr:row>
      <xdr:rowOff>6350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D888034-EFF6-B5C1-970E-9F78A8FFD983}"/>
            </a:ext>
          </a:extLst>
        </xdr:cNvPr>
        <xdr:cNvSpPr txBox="1"/>
      </xdr:nvSpPr>
      <xdr:spPr>
        <a:xfrm>
          <a:off x="5334000" y="361950"/>
          <a:ext cx="5276850" cy="1301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Key_insights</a:t>
          </a:r>
        </a:p>
        <a:p>
          <a:endParaRPr lang="en-CA" sz="1100"/>
        </a:p>
        <a:p>
          <a:r>
            <a:rPr lang="en-CA"/>
            <a:t>John demonstrates the strongest recovery performance at 70%, while David records the lowest at 55.89%, indicating potential performance variability across agents.</a:t>
          </a:r>
        </a:p>
        <a:p>
          <a:endParaRPr lang="en-CA" sz="1100"/>
        </a:p>
        <a:p>
          <a:r>
            <a:rPr lang="en-CA" sz="1100"/>
            <a:t>Recommendation</a:t>
          </a:r>
        </a:p>
        <a:p>
          <a:r>
            <a:rPr lang="en-CA"/>
            <a:t>Underperforming agents may benefit from additional coaching or best-practice sharing.</a:t>
          </a:r>
          <a:endParaRPr lang="en-CA" sz="1100"/>
        </a:p>
      </xdr:txBody>
    </xdr:sp>
    <xdr:clientData/>
  </xdr:twoCellAnchor>
  <xdr:twoCellAnchor>
    <xdr:from>
      <xdr:col>4</xdr:col>
      <xdr:colOff>209550</xdr:colOff>
      <xdr:row>12</xdr:row>
      <xdr:rowOff>127000</xdr:rowOff>
    </xdr:from>
    <xdr:to>
      <xdr:col>12</xdr:col>
      <xdr:colOff>603250</xdr:colOff>
      <xdr:row>20</xdr:row>
      <xdr:rowOff>12700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55F6F6B-B0AC-478B-4DFA-85493124F7C9}"/>
            </a:ext>
          </a:extLst>
        </xdr:cNvPr>
        <xdr:cNvSpPr txBox="1"/>
      </xdr:nvSpPr>
      <xdr:spPr>
        <a:xfrm>
          <a:off x="5321300" y="2336800"/>
          <a:ext cx="5270500" cy="1358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Key_insights</a:t>
          </a:r>
        </a:p>
        <a:p>
          <a:endParaRPr lang="en-CA" sz="1100"/>
        </a:p>
        <a:p>
          <a:r>
            <a:rPr lang="en-CA"/>
            <a:t>High-risk accounts show the lowest recovery rates compared to medium and low-risk segments, highlighting increased collection difficulty within this category.</a:t>
          </a:r>
        </a:p>
        <a:p>
          <a:endParaRPr lang="en-CA" sz="1100"/>
        </a:p>
        <a:p>
          <a:r>
            <a:rPr lang="en-CA" sz="1100"/>
            <a:t>Recommendation</a:t>
          </a:r>
        </a:p>
        <a:p>
          <a:r>
            <a:rPr lang="en-CA"/>
            <a:t>High-risk accounts may require a revised contact strategy.</a:t>
          </a:r>
          <a:endParaRPr lang="en-CA" sz="1100"/>
        </a:p>
      </xdr:txBody>
    </xdr:sp>
    <xdr:clientData/>
  </xdr:twoCellAnchor>
  <xdr:twoCellAnchor>
    <xdr:from>
      <xdr:col>4</xdr:col>
      <xdr:colOff>196850</xdr:colOff>
      <xdr:row>22</xdr:row>
      <xdr:rowOff>12700</xdr:rowOff>
    </xdr:from>
    <xdr:to>
      <xdr:col>13</xdr:col>
      <xdr:colOff>6350</xdr:colOff>
      <xdr:row>30</xdr:row>
      <xdr:rowOff>152400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461AD55-AC61-A5A8-DE5D-D3027EEE9D83}"/>
            </a:ext>
          </a:extLst>
        </xdr:cNvPr>
        <xdr:cNvSpPr txBox="1"/>
      </xdr:nvSpPr>
      <xdr:spPr>
        <a:xfrm>
          <a:off x="5308600" y="4064000"/>
          <a:ext cx="5295900" cy="161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Key_insights</a:t>
          </a:r>
        </a:p>
        <a:p>
          <a:endParaRPr lang="en-CA" sz="1100"/>
        </a:p>
        <a:p>
          <a:r>
            <a:rPr lang="en-CA" b="0"/>
            <a:t>March achieved the highest overall recovery rate, suggesting improved operational effectiveness during that period.</a:t>
          </a:r>
        </a:p>
        <a:p>
          <a:endParaRPr lang="en-CA" b="0"/>
        </a:p>
        <a:p>
          <a:r>
            <a:rPr lang="en-CA" b="0"/>
            <a:t>Recommendation</a:t>
          </a:r>
        </a:p>
        <a:p>
          <a:r>
            <a:rPr lang="en-CA"/>
            <a:t>March strategies could be analyzed and replicated in future months.</a:t>
          </a:r>
          <a:endParaRPr lang="en-CA" b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et-Asees" refreshedDate="46085.551207060184" createdVersion="8" refreshedVersion="8" minRefreshableVersion="3" recordCount="80" xr:uid="{C00C34AD-2850-4E15-BCB5-8769AD1B88EA}">
  <cacheSource type="worksheet">
    <worksheetSource ref="A1:H81" sheet="Account_data"/>
  </cacheSource>
  <cacheFields count="11">
    <cacheField name="Account_ID" numFmtId="0">
      <sharedItems containsSemiMixedTypes="0" containsString="0" containsNumber="1" containsInteger="1" minValue="1001" maxValue="1080"/>
    </cacheField>
    <cacheField name="Agent_Name" numFmtId="0">
      <sharedItems count="5">
        <s v="John"/>
        <s v="Sarah"/>
        <s v="Amit"/>
        <s v="David"/>
        <s v="Priya"/>
      </sharedItems>
    </cacheField>
    <cacheField name="Amount_Assigned" numFmtId="0">
      <sharedItems containsSemiMixedTypes="0" containsString="0" containsNumber="1" containsInteger="1" minValue="3000" maxValue="9900"/>
    </cacheField>
    <cacheField name="Amount_Recovered" numFmtId="0">
      <sharedItems containsSemiMixedTypes="0" containsString="0" containsNumber="1" containsInteger="1" minValue="1000" maxValue="9900"/>
    </cacheField>
    <cacheField name="Contact_Attempts" numFmtId="0">
      <sharedItems containsSemiMixedTypes="0" containsString="0" containsNumber="1" containsInteger="1" minValue="1" maxValue="9"/>
    </cacheField>
    <cacheField name="Month" numFmtId="0">
      <sharedItems count="7">
        <s v="Jan"/>
        <s v="Feb"/>
        <s v="Mar"/>
        <s v="Apr"/>
        <s v="May"/>
        <s v="Jun"/>
        <s v="Jul"/>
      </sharedItems>
    </cacheField>
    <cacheField name="Risk_Level" numFmtId="0">
      <sharedItems count="3">
        <s v="High"/>
        <s v="Low"/>
        <s v="Medium"/>
      </sharedItems>
    </cacheField>
    <cacheField name="Recovery_Rate = Amount_Recovered / Amount_Assigned" numFmtId="10">
      <sharedItems containsSemiMixedTypes="0" containsString="0" containsNumber="1" minValue="0.14492753623188406" maxValue="1"/>
    </cacheField>
    <cacheField name="Recovery_Rate" numFmtId="0" formula="Amount_Recovered/Amount_Assigned" databaseField="0"/>
    <cacheField name="Recovery%" numFmtId="0" formula="Amount_Recovered/Amount_Assigned" databaseField="0"/>
    <cacheField name="Recovery%_Level" numFmtId="0" formula="Amount_Recovered/Amount_Assigned" databaseField="0"/>
  </cacheFields>
  <extLst>
    <ext xmlns:x14="http://schemas.microsoft.com/office/spreadsheetml/2009/9/main" uri="{725AE2AE-9491-48be-B2B4-4EB974FC3084}">
      <x14:pivotCacheDefinition pivotCacheId="13620524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1001"/>
    <x v="0"/>
    <n v="5000"/>
    <n v="3000"/>
    <n v="5"/>
    <x v="0"/>
    <x v="0"/>
    <n v="0.6"/>
  </r>
  <r>
    <n v="1002"/>
    <x v="1"/>
    <n v="7000"/>
    <n v="7000"/>
    <n v="3"/>
    <x v="0"/>
    <x v="1"/>
    <n v="1"/>
  </r>
  <r>
    <n v="1003"/>
    <x v="2"/>
    <n v="4000"/>
    <n v="1000"/>
    <n v="6"/>
    <x v="1"/>
    <x v="0"/>
    <n v="0.25"/>
  </r>
  <r>
    <n v="1004"/>
    <x v="0"/>
    <n v="6000"/>
    <n v="4000"/>
    <n v="4"/>
    <x v="1"/>
    <x v="2"/>
    <n v="0.66666666666666663"/>
  </r>
  <r>
    <n v="1005"/>
    <x v="3"/>
    <n v="8000"/>
    <n v="5000"/>
    <n v="7"/>
    <x v="2"/>
    <x v="0"/>
    <n v="0.625"/>
  </r>
  <r>
    <n v="1006"/>
    <x v="4"/>
    <n v="3000"/>
    <n v="3000"/>
    <n v="2"/>
    <x v="0"/>
    <x v="1"/>
    <n v="1"/>
  </r>
  <r>
    <n v="1007"/>
    <x v="1"/>
    <n v="9000"/>
    <n v="6000"/>
    <n v="5"/>
    <x v="1"/>
    <x v="2"/>
    <n v="0.66666666666666663"/>
  </r>
  <r>
    <n v="1008"/>
    <x v="2"/>
    <n v="4500"/>
    <n v="2000"/>
    <n v="6"/>
    <x v="2"/>
    <x v="0"/>
    <n v="0.44444444444444442"/>
  </r>
  <r>
    <n v="1009"/>
    <x v="0"/>
    <n v="7500"/>
    <n v="7500"/>
    <n v="3"/>
    <x v="2"/>
    <x v="1"/>
    <n v="1"/>
  </r>
  <r>
    <n v="1010"/>
    <x v="4"/>
    <n v="6200"/>
    <n v="4000"/>
    <n v="4"/>
    <x v="1"/>
    <x v="2"/>
    <n v="0.64516129032258063"/>
  </r>
  <r>
    <n v="1011"/>
    <x v="3"/>
    <n v="5100"/>
    <n v="1000"/>
    <n v="8"/>
    <x v="3"/>
    <x v="0"/>
    <n v="0.19607843137254902"/>
  </r>
  <r>
    <n v="1012"/>
    <x v="1"/>
    <n v="8300"/>
    <n v="8300"/>
    <n v="2"/>
    <x v="3"/>
    <x v="1"/>
    <n v="1"/>
  </r>
  <r>
    <n v="1013"/>
    <x v="2"/>
    <n v="3900"/>
    <n v="1500"/>
    <n v="5"/>
    <x v="3"/>
    <x v="0"/>
    <n v="0.38461538461538464"/>
  </r>
  <r>
    <n v="1014"/>
    <x v="0"/>
    <n v="7100"/>
    <n v="5000"/>
    <n v="4"/>
    <x v="3"/>
    <x v="2"/>
    <n v="0.70422535211267601"/>
  </r>
  <r>
    <n v="1015"/>
    <x v="4"/>
    <n v="6600"/>
    <n v="6600"/>
    <n v="3"/>
    <x v="3"/>
    <x v="1"/>
    <n v="1"/>
  </r>
  <r>
    <n v="1016"/>
    <x v="3"/>
    <n v="9200"/>
    <n v="3000"/>
    <n v="9"/>
    <x v="4"/>
    <x v="0"/>
    <n v="0.32608695652173914"/>
  </r>
  <r>
    <n v="1017"/>
    <x v="1"/>
    <n v="4800"/>
    <n v="2500"/>
    <n v="6"/>
    <x v="4"/>
    <x v="2"/>
    <n v="0.52083333333333337"/>
  </r>
  <r>
    <n v="1018"/>
    <x v="2"/>
    <n v="5300"/>
    <n v="5300"/>
    <n v="2"/>
    <x v="4"/>
    <x v="1"/>
    <n v="1"/>
  </r>
  <r>
    <n v="1019"/>
    <x v="0"/>
    <n v="6100"/>
    <n v="2000"/>
    <n v="7"/>
    <x v="4"/>
    <x v="0"/>
    <n v="0.32786885245901637"/>
  </r>
  <r>
    <n v="1020"/>
    <x v="4"/>
    <n v="7700"/>
    <n v="5000"/>
    <n v="5"/>
    <x v="4"/>
    <x v="2"/>
    <n v="0.64935064935064934"/>
  </r>
  <r>
    <n v="1021"/>
    <x v="3"/>
    <n v="3400"/>
    <n v="3400"/>
    <n v="2"/>
    <x v="5"/>
    <x v="1"/>
    <n v="1"/>
  </r>
  <r>
    <n v="1022"/>
    <x v="1"/>
    <n v="8800"/>
    <n v="4000"/>
    <n v="6"/>
    <x v="5"/>
    <x v="0"/>
    <n v="0.45454545454545453"/>
  </r>
  <r>
    <n v="1023"/>
    <x v="2"/>
    <n v="5600"/>
    <n v="3500"/>
    <n v="4"/>
    <x v="5"/>
    <x v="2"/>
    <n v="0.625"/>
  </r>
  <r>
    <n v="1024"/>
    <x v="0"/>
    <n v="9900"/>
    <n v="9900"/>
    <n v="1"/>
    <x v="5"/>
    <x v="1"/>
    <n v="1"/>
  </r>
  <r>
    <n v="1025"/>
    <x v="4"/>
    <n v="4500"/>
    <n v="1000"/>
    <n v="8"/>
    <x v="5"/>
    <x v="0"/>
    <n v="0.22222222222222221"/>
  </r>
  <r>
    <n v="1026"/>
    <x v="3"/>
    <n v="7300"/>
    <n v="5000"/>
    <n v="5"/>
    <x v="6"/>
    <x v="2"/>
    <n v="0.68493150684931503"/>
  </r>
  <r>
    <n v="1027"/>
    <x v="1"/>
    <n v="6100"/>
    <n v="6100"/>
    <n v="2"/>
    <x v="6"/>
    <x v="1"/>
    <n v="1"/>
  </r>
  <r>
    <n v="1028"/>
    <x v="2"/>
    <n v="8400"/>
    <n v="3000"/>
    <n v="7"/>
    <x v="6"/>
    <x v="0"/>
    <n v="0.35714285714285715"/>
  </r>
  <r>
    <n v="1029"/>
    <x v="0"/>
    <n v="5200"/>
    <n v="4000"/>
    <n v="4"/>
    <x v="6"/>
    <x v="2"/>
    <n v="0.76923076923076927"/>
  </r>
  <r>
    <n v="1030"/>
    <x v="4"/>
    <n v="6800"/>
    <n v="6800"/>
    <n v="3"/>
    <x v="6"/>
    <x v="1"/>
    <n v="1"/>
  </r>
  <r>
    <n v="1031"/>
    <x v="0"/>
    <n v="8100"/>
    <n v="3000"/>
    <n v="6"/>
    <x v="0"/>
    <x v="0"/>
    <n v="0.37037037037037035"/>
  </r>
  <r>
    <n v="1032"/>
    <x v="1"/>
    <n v="7200"/>
    <n v="5000"/>
    <n v="4"/>
    <x v="1"/>
    <x v="2"/>
    <n v="0.69444444444444442"/>
  </r>
  <r>
    <n v="1033"/>
    <x v="2"/>
    <n v="4600"/>
    <n v="4600"/>
    <n v="2"/>
    <x v="2"/>
    <x v="1"/>
    <n v="1"/>
  </r>
  <r>
    <n v="1034"/>
    <x v="3"/>
    <n v="9500"/>
    <n v="2000"/>
    <n v="9"/>
    <x v="3"/>
    <x v="0"/>
    <n v="0.21052631578947367"/>
  </r>
  <r>
    <n v="1035"/>
    <x v="4"/>
    <n v="5400"/>
    <n v="3500"/>
    <n v="5"/>
    <x v="4"/>
    <x v="2"/>
    <n v="0.64814814814814814"/>
  </r>
  <r>
    <n v="1036"/>
    <x v="0"/>
    <n v="6300"/>
    <n v="6300"/>
    <n v="2"/>
    <x v="5"/>
    <x v="1"/>
    <n v="1"/>
  </r>
  <r>
    <n v="1037"/>
    <x v="1"/>
    <n v="8700"/>
    <n v="4200"/>
    <n v="6"/>
    <x v="6"/>
    <x v="0"/>
    <n v="0.48275862068965519"/>
  </r>
  <r>
    <n v="1038"/>
    <x v="2"/>
    <n v="5800"/>
    <n v="2500"/>
    <n v="5"/>
    <x v="0"/>
    <x v="2"/>
    <n v="0.43103448275862066"/>
  </r>
  <r>
    <n v="1039"/>
    <x v="3"/>
    <n v="6100"/>
    <n v="1000"/>
    <n v="8"/>
    <x v="1"/>
    <x v="0"/>
    <n v="0.16393442622950818"/>
  </r>
  <r>
    <n v="1040"/>
    <x v="4"/>
    <n v="7600"/>
    <n v="7600"/>
    <n v="3"/>
    <x v="2"/>
    <x v="1"/>
    <n v="1"/>
  </r>
  <r>
    <n v="1041"/>
    <x v="0"/>
    <n v="8200"/>
    <n v="6000"/>
    <n v="4"/>
    <x v="3"/>
    <x v="2"/>
    <n v="0.73170731707317072"/>
  </r>
  <r>
    <n v="1042"/>
    <x v="1"/>
    <n v="4900"/>
    <n v="2000"/>
    <n v="7"/>
    <x v="4"/>
    <x v="0"/>
    <n v="0.40816326530612246"/>
  </r>
  <r>
    <n v="1043"/>
    <x v="2"/>
    <n v="7100"/>
    <n v="7100"/>
    <n v="2"/>
    <x v="5"/>
    <x v="1"/>
    <n v="1"/>
  </r>
  <r>
    <n v="1044"/>
    <x v="3"/>
    <n v="6400"/>
    <n v="4500"/>
    <n v="4"/>
    <x v="6"/>
    <x v="2"/>
    <n v="0.703125"/>
  </r>
  <r>
    <n v="1045"/>
    <x v="4"/>
    <n v="8800"/>
    <n v="3000"/>
    <n v="8"/>
    <x v="0"/>
    <x v="0"/>
    <n v="0.34090909090909088"/>
  </r>
  <r>
    <n v="1046"/>
    <x v="0"/>
    <n v="5700"/>
    <n v="5700"/>
    <n v="2"/>
    <x v="1"/>
    <x v="1"/>
    <n v="1"/>
  </r>
  <r>
    <n v="1047"/>
    <x v="1"/>
    <n v="9200"/>
    <n v="5000"/>
    <n v="6"/>
    <x v="2"/>
    <x v="2"/>
    <n v="0.54347826086956519"/>
  </r>
  <r>
    <n v="1048"/>
    <x v="2"/>
    <n v="6100"/>
    <n v="1500"/>
    <n v="7"/>
    <x v="3"/>
    <x v="0"/>
    <n v="0.24590163934426229"/>
  </r>
  <r>
    <n v="1049"/>
    <x v="3"/>
    <n v="7500"/>
    <n v="7500"/>
    <n v="1"/>
    <x v="4"/>
    <x v="1"/>
    <n v="1"/>
  </r>
  <r>
    <n v="1050"/>
    <x v="4"/>
    <n v="5300"/>
    <n v="3200"/>
    <n v="5"/>
    <x v="5"/>
    <x v="2"/>
    <n v="0.60377358490566035"/>
  </r>
  <r>
    <n v="1051"/>
    <x v="0"/>
    <n v="6600"/>
    <n v="2000"/>
    <n v="6"/>
    <x v="6"/>
    <x v="0"/>
    <n v="0.30303030303030304"/>
  </r>
  <r>
    <n v="1052"/>
    <x v="1"/>
    <n v="8000"/>
    <n v="8000"/>
    <n v="2"/>
    <x v="0"/>
    <x v="1"/>
    <n v="1"/>
  </r>
  <r>
    <n v="1053"/>
    <x v="2"/>
    <n v="4700"/>
    <n v="3000"/>
    <n v="4"/>
    <x v="1"/>
    <x v="2"/>
    <n v="0.63829787234042556"/>
  </r>
  <r>
    <n v="1054"/>
    <x v="3"/>
    <n v="9900"/>
    <n v="4000"/>
    <n v="9"/>
    <x v="2"/>
    <x v="0"/>
    <n v="0.40404040404040403"/>
  </r>
  <r>
    <n v="1055"/>
    <x v="4"/>
    <n v="7200"/>
    <n v="7200"/>
    <n v="3"/>
    <x v="3"/>
    <x v="1"/>
    <n v="1"/>
  </r>
  <r>
    <n v="1056"/>
    <x v="0"/>
    <n v="6100"/>
    <n v="4500"/>
    <n v="4"/>
    <x v="4"/>
    <x v="2"/>
    <n v="0.73770491803278693"/>
  </r>
  <r>
    <n v="1057"/>
    <x v="1"/>
    <n v="8500"/>
    <n v="2000"/>
    <n v="8"/>
    <x v="5"/>
    <x v="0"/>
    <n v="0.23529411764705882"/>
  </r>
  <r>
    <n v="1058"/>
    <x v="2"/>
    <n v="6900"/>
    <n v="6900"/>
    <n v="2"/>
    <x v="6"/>
    <x v="1"/>
    <n v="1"/>
  </r>
  <r>
    <n v="1059"/>
    <x v="3"/>
    <n v="5600"/>
    <n v="3500"/>
    <n v="5"/>
    <x v="0"/>
    <x v="2"/>
    <n v="0.625"/>
  </r>
  <r>
    <n v="1060"/>
    <x v="4"/>
    <n v="9100"/>
    <n v="3000"/>
    <n v="7"/>
    <x v="1"/>
    <x v="0"/>
    <n v="0.32967032967032966"/>
  </r>
  <r>
    <n v="1061"/>
    <x v="0"/>
    <n v="7400"/>
    <n v="7400"/>
    <n v="2"/>
    <x v="2"/>
    <x v="1"/>
    <n v="1"/>
  </r>
  <r>
    <n v="1062"/>
    <x v="1"/>
    <n v="6200"/>
    <n v="4100"/>
    <n v="4"/>
    <x v="3"/>
    <x v="2"/>
    <n v="0.66129032258064513"/>
  </r>
  <r>
    <n v="1063"/>
    <x v="2"/>
    <n v="8800"/>
    <n v="2000"/>
    <n v="8"/>
    <x v="4"/>
    <x v="0"/>
    <n v="0.22727272727272727"/>
  </r>
  <r>
    <n v="1064"/>
    <x v="3"/>
    <n v="5000"/>
    <n v="5000"/>
    <n v="2"/>
    <x v="5"/>
    <x v="1"/>
    <n v="1"/>
  </r>
  <r>
    <n v="1065"/>
    <x v="4"/>
    <n v="7700"/>
    <n v="4800"/>
    <n v="5"/>
    <x v="6"/>
    <x v="2"/>
    <n v="0.62337662337662336"/>
  </r>
  <r>
    <n v="1066"/>
    <x v="0"/>
    <n v="6900"/>
    <n v="1000"/>
    <n v="9"/>
    <x v="0"/>
    <x v="0"/>
    <n v="0.14492753623188406"/>
  </r>
  <r>
    <n v="1067"/>
    <x v="1"/>
    <n v="5400"/>
    <n v="5400"/>
    <n v="2"/>
    <x v="1"/>
    <x v="1"/>
    <n v="1"/>
  </r>
  <r>
    <n v="1068"/>
    <x v="2"/>
    <n v="8300"/>
    <n v="6000"/>
    <n v="4"/>
    <x v="2"/>
    <x v="2"/>
    <n v="0.72289156626506024"/>
  </r>
  <r>
    <n v="1069"/>
    <x v="3"/>
    <n v="7200"/>
    <n v="2500"/>
    <n v="6"/>
    <x v="3"/>
    <x v="0"/>
    <n v="0.34722222222222221"/>
  </r>
  <r>
    <n v="1070"/>
    <x v="4"/>
    <n v="6100"/>
    <n v="6100"/>
    <n v="2"/>
    <x v="4"/>
    <x v="1"/>
    <n v="1"/>
  </r>
  <r>
    <n v="1071"/>
    <x v="0"/>
    <n v="9000"/>
    <n v="5000"/>
    <n v="5"/>
    <x v="5"/>
    <x v="2"/>
    <n v="0.55555555555555558"/>
  </r>
  <r>
    <n v="1072"/>
    <x v="1"/>
    <n v="4800"/>
    <n v="1500"/>
    <n v="7"/>
    <x v="6"/>
    <x v="0"/>
    <n v="0.3125"/>
  </r>
  <r>
    <n v="1073"/>
    <x v="2"/>
    <n v="7600"/>
    <n v="7600"/>
    <n v="2"/>
    <x v="0"/>
    <x v="1"/>
    <n v="1"/>
  </r>
  <r>
    <n v="1074"/>
    <x v="3"/>
    <n v="6500"/>
    <n v="4000"/>
    <n v="4"/>
    <x v="1"/>
    <x v="2"/>
    <n v="0.61538461538461542"/>
  </r>
  <r>
    <n v="1075"/>
    <x v="4"/>
    <n v="8200"/>
    <n v="2000"/>
    <n v="8"/>
    <x v="2"/>
    <x v="0"/>
    <n v="0.24390243902439024"/>
  </r>
  <r>
    <n v="1076"/>
    <x v="0"/>
    <n v="5800"/>
    <n v="5800"/>
    <n v="2"/>
    <x v="3"/>
    <x v="1"/>
    <n v="1"/>
  </r>
  <r>
    <n v="1077"/>
    <x v="1"/>
    <n v="7300"/>
    <n v="5000"/>
    <n v="4"/>
    <x v="4"/>
    <x v="2"/>
    <n v="0.68493150684931503"/>
  </r>
  <r>
    <n v="1078"/>
    <x v="2"/>
    <n v="9100"/>
    <n v="3000"/>
    <n v="7"/>
    <x v="5"/>
    <x v="0"/>
    <n v="0.32967032967032966"/>
  </r>
  <r>
    <n v="1079"/>
    <x v="3"/>
    <n v="6000"/>
    <n v="6000"/>
    <n v="2"/>
    <x v="6"/>
    <x v="1"/>
    <n v="1"/>
  </r>
  <r>
    <n v="1080"/>
    <x v="4"/>
    <n v="8700"/>
    <n v="4500"/>
    <n v="5"/>
    <x v="0"/>
    <x v="2"/>
    <n v="0.517241379310344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B28A1-A7C4-4CA7-827F-623D1715B065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0" rowHeaderCaption="Agent_Name">
  <location ref="A4:B10" firstHeaderRow="1" firstDataRow="1" firstDataCol="1"/>
  <pivotFields count="11">
    <pivotField showAll="0"/>
    <pivotField axis="axisRow" showAll="0" sortType="descending">
      <items count="6">
        <item x="2"/>
        <item x="3"/>
        <item x="0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0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 v="2"/>
    </i>
    <i>
      <x v="4"/>
    </i>
    <i>
      <x v="3"/>
    </i>
    <i>
      <x/>
    </i>
    <i>
      <x v="1"/>
    </i>
    <i t="grand">
      <x/>
    </i>
  </rowItems>
  <colItems count="1">
    <i/>
  </colItems>
  <dataFields count="1">
    <dataField name="Recovery %" fld="8" baseField="0" baseItem="0" numFmtId="10"/>
  </dataFields>
  <formats count="7">
    <format dxfId="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1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8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8A26A-3487-4C98-9B0D-F2AC29ADDE07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 rowHeaderCaption="Risk_Level">
  <location ref="A15:B19" firstHeaderRow="1" firstDataRow="1" firstDataCol="1"/>
  <pivotFields count="11">
    <pivotField showAll="0"/>
    <pivotField showAll="0">
      <items count="6">
        <item x="2"/>
        <item x="3"/>
        <item x="0"/>
        <item x="4"/>
        <item x="1"/>
        <item t="default"/>
      </items>
    </pivotField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0"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6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Recovery%_Level " fld="10" baseField="0" baseItem="0" numFmtId="10"/>
  </dataFields>
  <formats count="6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" type="button" dataOnly="0" labelOnly="1" outline="0"/>
    </format>
    <format dxfId="45">
      <pivotArea dataOnly="0" labelOnly="1" grandRow="1" outline="0" fieldPosition="0"/>
    </format>
    <format dxfId="4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2B2EE-6F85-4E8B-87B7-9D0A6A7741E7}" name="PivotTable7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 rowHeaderCaption="Month">
  <location ref="A24:B32" firstHeaderRow="1" firstDataRow="1" firstDataCol="1"/>
  <pivotFields count="11">
    <pivotField showAll="0"/>
    <pivotField showAll="0" sortType="descending">
      <items count="6">
        <item x="2"/>
        <item x="3"/>
        <item x="0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0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covery %" fld="8" baseField="0" baseItem="0" numFmtId="10"/>
  </dataFields>
  <formats count="6">
    <format dxfId="5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" type="button" dataOnly="0" labelOnly="1" outline="0"/>
    </format>
    <format dxfId="50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D64CA-1FC1-4619-8948-DA723339AEE3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Risk_Level">
  <location ref="A14:D18" firstHeaderRow="0" firstDataRow="1" firstDataCol="1"/>
  <pivotFields count="11">
    <pivotField showAll="0"/>
    <pivotField showAll="0">
      <items count="6">
        <item x="2"/>
        <item x="3"/>
        <item x="0"/>
        <item x="4"/>
        <item x="1"/>
        <item t="default"/>
      </items>
    </pivotField>
    <pivotField dataField="1" showAll="0"/>
    <pivotField dataField="1" showAll="0"/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umFmtId="10"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6"/>
  </rowFields>
  <rowItems count="4">
    <i>
      <x/>
    </i>
    <i>
      <x v="2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_Assigned" fld="2" baseField="0" baseItem="0"/>
    <dataField name="Sum of Amount_Recovered" fld="3" baseField="0" baseItem="0"/>
    <dataField name="Recovery%_Level " fld="10" baseField="0" baseItem="0" numFmtId="10"/>
  </dataFields>
  <formats count="6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" type="button" dataOnly="0" labelOnly="1" outline="0"/>
    </format>
    <format dxfId="19">
      <pivotArea dataOnly="0" labelOnly="1" grandRow="1" outline="0" fieldPosition="0"/>
    </format>
    <format dxfId="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E2446-9D50-45CA-BFFB-D91FE8D84F2C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6" rowHeaderCaption="Agent_Name">
  <location ref="A3:D9" firstHeaderRow="0" firstDataRow="1" firstDataCol="1"/>
  <pivotFields count="11">
    <pivotField showAll="0"/>
    <pivotField axis="axisRow" showAll="0" sortType="descending">
      <items count="6">
        <item x="2"/>
        <item x="3"/>
        <item x="0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showAll="0"/>
    <pivotField showAll="0"/>
    <pivotField showAll="0"/>
    <pivotField numFmtId="10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 v="2"/>
    </i>
    <i>
      <x v="4"/>
    </i>
    <i>
      <x v="3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_Assigned" fld="2" baseField="0" baseItem="0"/>
    <dataField name="Sum of Amount_Recovered" fld="3" baseField="0" baseItem="0"/>
    <dataField name="Recovery %" fld="8" baseField="0" baseItem="0" numFmtId="10"/>
  </dataFields>
  <formats count="7">
    <format dxfId="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DA2E0-5A3C-4F8C-B71E-58E8E1FD161A}" name="PivotTable7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Month">
  <location ref="A23:D31" firstHeaderRow="0" firstDataRow="1" firstDataCol="1"/>
  <pivotFields count="11">
    <pivotField showAll="0"/>
    <pivotField showAll="0" sortType="descending">
      <items count="6">
        <item x="2"/>
        <item x="3"/>
        <item x="0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showAll="0"/>
    <pivotField axis="axisRow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numFmtId="10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8">
    <i>
      <x v="2"/>
    </i>
    <i>
      <x v="6"/>
    </i>
    <i>
      <x v="5"/>
    </i>
    <i>
      <x v="3"/>
    </i>
    <i>
      <x/>
    </i>
    <i>
      <x v="4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_Assigned" fld="2" baseField="0" baseItem="0"/>
    <dataField name="Sum of Amount_Recovered" fld="3" baseField="0" baseItem="0"/>
    <dataField name="Recovery %" fld="8" baseField="0" baseItem="0" numFmtId="10"/>
  </dataFields>
  <formats count="6">
    <format dxfId="3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/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28430F-BCDD-45BC-A122-B2698D06A548}" name="Table2" displayName="Table2" ref="A1:L81" totalsRowShown="0" headerRowDxfId="16" dataDxfId="14" headerRowBorderDxfId="15" tableBorderDxfId="13" totalsRowBorderDxfId="12">
  <tableColumns count="12">
    <tableColumn id="1" xr3:uid="{1EFBA4AB-2624-47D5-8A56-B0750DC86FD5}" name="Account_ID" dataDxfId="11"/>
    <tableColumn id="2" xr3:uid="{C23BCDAC-EC6C-4E06-A64C-0382AA0FCDA8}" name="Agent_Name" dataDxfId="10"/>
    <tableColumn id="3" xr3:uid="{5F918A37-6207-4420-9D3F-759036C3A834}" name="Amount_Assigned" dataDxfId="9"/>
    <tableColumn id="4" xr3:uid="{8A65DE17-E1EB-48C7-AC65-0163656CD039}" name="Amount_Recovered" dataDxfId="8"/>
    <tableColumn id="5" xr3:uid="{DA5168C5-D715-4018-B590-B71A1BF0CCF0}" name="Contact_Attempts" dataDxfId="7"/>
    <tableColumn id="6" xr3:uid="{38D9908F-5E09-46C7-9492-F7CBD13B9651}" name="Month" dataDxfId="6"/>
    <tableColumn id="7" xr3:uid="{C04DA875-CE9B-450C-A208-E37C10AA0600}" name="Risk_Level" dataDxfId="5"/>
    <tableColumn id="8" xr3:uid="{7CADA17B-3D8E-4982-9E99-B417B2DB800A}" name="Recovery_Rate = Amount_Recovered / Amount_Assigned" dataDxfId="4" dataCellStyle="Percent">
      <calculatedColumnFormula>D2/C2</calculatedColumnFormula>
    </tableColumn>
    <tableColumn id="9" xr3:uid="{9D10EC36-13EB-4C6B-8DFA-DC8EB9C23B39}" name="Region" dataDxfId="3"/>
    <tableColumn id="10" xr3:uid="{549F9A48-17E3-4BCC-86E5-CDDD1517B9CD}" name="Account_Age_Days" dataDxfId="2"/>
    <tableColumn id="11" xr3:uid="{97077B8D-81DC-4D7F-A30B-9F4872A7EB05}" name="Promise_To_Pay (Yes/No)" dataDxfId="1"/>
    <tableColumn id="12" xr3:uid="{22FFCC0D-3862-42C5-AFDC-474849B8E684}" name="Resolution_Status (Recovered / Partially Recovered / Unrecovered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631D-3E03-46B4-A671-114FDD316484}">
  <dimension ref="A1:H33"/>
  <sheetViews>
    <sheetView showGridLines="0" workbookViewId="0">
      <selection activeCell="L61" sqref="L61"/>
    </sheetView>
  </sheetViews>
  <sheetFormatPr defaultRowHeight="14.5" x14ac:dyDescent="0.35"/>
  <cols>
    <col min="1" max="1" width="11.90625" bestFit="1" customWidth="1"/>
    <col min="2" max="2" width="22.1796875" bestFit="1" customWidth="1"/>
    <col min="3" max="3" width="16.7265625" bestFit="1" customWidth="1"/>
    <col min="4" max="4" width="16.36328125" bestFit="1" customWidth="1"/>
    <col min="5" max="5" width="16.7265625" bestFit="1" customWidth="1"/>
    <col min="6" max="6" width="16.36328125" bestFit="1" customWidth="1"/>
    <col min="7" max="7" width="18" bestFit="1" customWidth="1"/>
    <col min="8" max="8" width="24.08984375" bestFit="1" customWidth="1"/>
  </cols>
  <sheetData>
    <row r="1" spans="1:8" ht="18.5" x14ac:dyDescent="0.45">
      <c r="E1" s="18" t="s">
        <v>44</v>
      </c>
      <c r="F1" s="18" t="s">
        <v>41</v>
      </c>
      <c r="G1" s="18" t="s">
        <v>42</v>
      </c>
      <c r="H1" s="18" t="s">
        <v>43</v>
      </c>
    </row>
    <row r="2" spans="1:8" ht="18.5" x14ac:dyDescent="0.45">
      <c r="E2" s="18">
        <f>COUNT(Table2[Account_ID])</f>
        <v>80</v>
      </c>
      <c r="F2" s="18">
        <f>SUM(Table2[Amount_Assigned])</f>
        <v>543400</v>
      </c>
      <c r="G2" s="18">
        <f>SUM(Table2[Amount_Recovered])</f>
        <v>347400</v>
      </c>
      <c r="H2" s="19">
        <f>AVERAGE(Table2[Recovery_Rate = Amount_Recovered / Amount_Assigned])</f>
        <v>0.64946938216499284</v>
      </c>
    </row>
    <row r="3" spans="1:8" ht="18.5" hidden="1" x14ac:dyDescent="0.45">
      <c r="C3" s="16"/>
      <c r="D3" s="16"/>
      <c r="E3" s="16"/>
      <c r="F3" s="17"/>
    </row>
    <row r="4" spans="1:8" hidden="1" x14ac:dyDescent="0.35">
      <c r="A4" s="7" t="s">
        <v>1</v>
      </c>
      <c r="B4" s="1" t="s">
        <v>26</v>
      </c>
    </row>
    <row r="5" spans="1:8" hidden="1" x14ac:dyDescent="0.35">
      <c r="A5" s="8" t="s">
        <v>7</v>
      </c>
      <c r="B5" s="9">
        <v>0.7023096663815227</v>
      </c>
    </row>
    <row r="6" spans="1:8" hidden="1" x14ac:dyDescent="0.35">
      <c r="A6" s="8" t="s">
        <v>10</v>
      </c>
      <c r="B6" s="9">
        <v>0.66637478108581438</v>
      </c>
    </row>
    <row r="7" spans="1:8" hidden="1" x14ac:dyDescent="0.35">
      <c r="A7" s="8" t="s">
        <v>25</v>
      </c>
      <c r="B7" s="9">
        <v>0.65472910927456385</v>
      </c>
    </row>
    <row r="8" spans="1:8" hidden="1" x14ac:dyDescent="0.35">
      <c r="A8" s="8" t="s">
        <v>12</v>
      </c>
      <c r="B8" s="9">
        <v>0.6007944389275075</v>
      </c>
    </row>
    <row r="9" spans="1:8" hidden="1" x14ac:dyDescent="0.35">
      <c r="A9" s="8" t="s">
        <v>24</v>
      </c>
      <c r="B9" s="9">
        <v>0.5589094449853943</v>
      </c>
    </row>
    <row r="10" spans="1:8" hidden="1" x14ac:dyDescent="0.35">
      <c r="A10" s="8" t="s">
        <v>21</v>
      </c>
      <c r="B10" s="9">
        <v>0.63930806036069199</v>
      </c>
    </row>
    <row r="11" spans="1:8" hidden="1" x14ac:dyDescent="0.35"/>
    <row r="12" spans="1:8" hidden="1" x14ac:dyDescent="0.35"/>
    <row r="13" spans="1:8" hidden="1" x14ac:dyDescent="0.35"/>
    <row r="14" spans="1:8" hidden="1" x14ac:dyDescent="0.35"/>
    <row r="15" spans="1:8" hidden="1" x14ac:dyDescent="0.35">
      <c r="A15" s="7" t="s">
        <v>6</v>
      </c>
      <c r="B15" s="1" t="s">
        <v>27</v>
      </c>
    </row>
    <row r="16" spans="1:8" hidden="1" x14ac:dyDescent="0.35">
      <c r="A16" s="8" t="s">
        <v>9</v>
      </c>
      <c r="B16" s="9">
        <v>0.33299798792756541</v>
      </c>
    </row>
    <row r="17" spans="1:2" hidden="1" x14ac:dyDescent="0.35">
      <c r="A17" s="8" t="s">
        <v>14</v>
      </c>
      <c r="B17" s="9">
        <v>0.64079320113314453</v>
      </c>
    </row>
    <row r="18" spans="1:2" hidden="1" x14ac:dyDescent="0.35">
      <c r="A18" s="8" t="s">
        <v>11</v>
      </c>
      <c r="B18" s="9">
        <v>1</v>
      </c>
    </row>
    <row r="19" spans="1:2" hidden="1" x14ac:dyDescent="0.35">
      <c r="A19" s="8" t="s">
        <v>21</v>
      </c>
      <c r="B19" s="9">
        <v>0.63930806036069199</v>
      </c>
    </row>
    <row r="20" spans="1:2" hidden="1" x14ac:dyDescent="0.35"/>
    <row r="21" spans="1:2" hidden="1" x14ac:dyDescent="0.35"/>
    <row r="22" spans="1:2" hidden="1" x14ac:dyDescent="0.35"/>
    <row r="23" spans="1:2" hidden="1" x14ac:dyDescent="0.35"/>
    <row r="24" spans="1:2" hidden="1" x14ac:dyDescent="0.35">
      <c r="A24" s="7" t="s">
        <v>5</v>
      </c>
      <c r="B24" s="1" t="s">
        <v>26</v>
      </c>
    </row>
    <row r="25" spans="1:2" hidden="1" x14ac:dyDescent="0.35">
      <c r="A25" s="8" t="s">
        <v>8</v>
      </c>
      <c r="B25" s="9">
        <v>0.61879194630872481</v>
      </c>
    </row>
    <row r="26" spans="1:2" hidden="1" x14ac:dyDescent="0.35">
      <c r="A26" s="8" t="s">
        <v>13</v>
      </c>
      <c r="B26" s="9">
        <v>0.60228898426323318</v>
      </c>
    </row>
    <row r="27" spans="1:2" hidden="1" x14ac:dyDescent="0.35">
      <c r="A27" s="8" t="s">
        <v>15</v>
      </c>
      <c r="B27" s="9">
        <v>0.67952127659574468</v>
      </c>
    </row>
    <row r="28" spans="1:2" hidden="1" x14ac:dyDescent="0.35">
      <c r="A28" s="8" t="s">
        <v>16</v>
      </c>
      <c r="B28" s="9">
        <v>0.63423645320197042</v>
      </c>
    </row>
    <row r="29" spans="1:2" hidden="1" x14ac:dyDescent="0.35">
      <c r="A29" s="8" t="s">
        <v>17</v>
      </c>
      <c r="B29" s="9">
        <v>0.61111111111111116</v>
      </c>
    </row>
    <row r="30" spans="1:2" hidden="1" x14ac:dyDescent="0.35">
      <c r="A30" s="8" t="s">
        <v>18</v>
      </c>
      <c r="B30" s="9">
        <v>0.64727272727272722</v>
      </c>
    </row>
    <row r="31" spans="1:2" hidden="1" x14ac:dyDescent="0.35">
      <c r="A31" s="8" t="s">
        <v>19</v>
      </c>
      <c r="B31" s="9">
        <v>0.67737948084054389</v>
      </c>
    </row>
    <row r="32" spans="1:2" hidden="1" x14ac:dyDescent="0.35">
      <c r="A32" s="8" t="s">
        <v>21</v>
      </c>
      <c r="B32" s="9">
        <v>0.63930806036069199</v>
      </c>
    </row>
    <row r="33" hidden="1" x14ac:dyDescent="0.35"/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5097-0C66-4D15-8432-F0BF8E3D15D8}">
  <dimension ref="A3:D31"/>
  <sheetViews>
    <sheetView workbookViewId="0">
      <selection activeCell="C26" sqref="C26"/>
    </sheetView>
  </sheetViews>
  <sheetFormatPr defaultRowHeight="14.5" x14ac:dyDescent="0.35"/>
  <cols>
    <col min="1" max="1" width="11.90625" bestFit="1" customWidth="1"/>
    <col min="2" max="2" width="22.1796875" bestFit="1" customWidth="1"/>
    <col min="3" max="3" width="23.453125" bestFit="1" customWidth="1"/>
    <col min="4" max="4" width="15.6328125" bestFit="1" customWidth="1"/>
  </cols>
  <sheetData>
    <row r="3" spans="1:4" x14ac:dyDescent="0.35">
      <c r="A3" s="7" t="s">
        <v>1</v>
      </c>
      <c r="B3" s="1" t="s">
        <v>22</v>
      </c>
      <c r="C3" s="1" t="s">
        <v>23</v>
      </c>
      <c r="D3" s="1" t="s">
        <v>26</v>
      </c>
    </row>
    <row r="4" spans="1:4" x14ac:dyDescent="0.35">
      <c r="A4" s="8" t="s">
        <v>7</v>
      </c>
      <c r="B4" s="1">
        <v>116900</v>
      </c>
      <c r="C4" s="1">
        <v>82100</v>
      </c>
      <c r="D4" s="9">
        <v>0.7023096663815227</v>
      </c>
    </row>
    <row r="5" spans="1:4" x14ac:dyDescent="0.35">
      <c r="A5" s="8" t="s">
        <v>10</v>
      </c>
      <c r="B5" s="1">
        <v>114200</v>
      </c>
      <c r="C5" s="1">
        <v>76100</v>
      </c>
      <c r="D5" s="9">
        <v>0.66637478108581438</v>
      </c>
    </row>
    <row r="6" spans="1:4" x14ac:dyDescent="0.35">
      <c r="A6" s="8" t="s">
        <v>25</v>
      </c>
      <c r="B6" s="1">
        <v>108900</v>
      </c>
      <c r="C6" s="1">
        <v>71300</v>
      </c>
      <c r="D6" s="9">
        <v>0.65472910927456385</v>
      </c>
    </row>
    <row r="7" spans="1:4" x14ac:dyDescent="0.35">
      <c r="A7" s="8" t="s">
        <v>12</v>
      </c>
      <c r="B7" s="1">
        <v>100700</v>
      </c>
      <c r="C7" s="1">
        <v>60500</v>
      </c>
      <c r="D7" s="9">
        <v>0.6007944389275075</v>
      </c>
    </row>
    <row r="8" spans="1:4" x14ac:dyDescent="0.35">
      <c r="A8" s="8" t="s">
        <v>24</v>
      </c>
      <c r="B8" s="1">
        <v>102700</v>
      </c>
      <c r="C8" s="1">
        <v>57400</v>
      </c>
      <c r="D8" s="9">
        <v>0.5589094449853943</v>
      </c>
    </row>
    <row r="9" spans="1:4" x14ac:dyDescent="0.35">
      <c r="A9" s="8" t="s">
        <v>21</v>
      </c>
      <c r="B9" s="1">
        <v>543400</v>
      </c>
      <c r="C9" s="1">
        <v>347400</v>
      </c>
      <c r="D9" s="9">
        <v>0.63930806036069199</v>
      </c>
    </row>
    <row r="14" spans="1:4" x14ac:dyDescent="0.35">
      <c r="A14" s="7" t="s">
        <v>6</v>
      </c>
      <c r="B14" s="1" t="s">
        <v>22</v>
      </c>
      <c r="C14" s="1" t="s">
        <v>23</v>
      </c>
      <c r="D14" s="9" t="s">
        <v>27</v>
      </c>
    </row>
    <row r="15" spans="1:4" x14ac:dyDescent="0.35">
      <c r="A15" s="8" t="s">
        <v>9</v>
      </c>
      <c r="B15" s="1">
        <v>198800</v>
      </c>
      <c r="C15" s="1">
        <v>66200</v>
      </c>
      <c r="D15" s="9">
        <v>0.33299798792756541</v>
      </c>
    </row>
    <row r="16" spans="1:4" x14ac:dyDescent="0.35">
      <c r="A16" s="8" t="s">
        <v>14</v>
      </c>
      <c r="B16" s="1">
        <v>176500</v>
      </c>
      <c r="C16" s="1">
        <v>113100</v>
      </c>
      <c r="D16" s="9">
        <v>0.64079320113314453</v>
      </c>
    </row>
    <row r="17" spans="1:4" x14ac:dyDescent="0.35">
      <c r="A17" s="8" t="s">
        <v>11</v>
      </c>
      <c r="B17" s="1">
        <v>168100</v>
      </c>
      <c r="C17" s="1">
        <v>168100</v>
      </c>
      <c r="D17" s="9">
        <v>1</v>
      </c>
    </row>
    <row r="18" spans="1:4" x14ac:dyDescent="0.35">
      <c r="A18" s="8" t="s">
        <v>21</v>
      </c>
      <c r="B18" s="1">
        <v>543400</v>
      </c>
      <c r="C18" s="1">
        <v>347400</v>
      </c>
      <c r="D18" s="9">
        <v>0.63930806036069199</v>
      </c>
    </row>
    <row r="23" spans="1:4" x14ac:dyDescent="0.35">
      <c r="A23" s="7" t="s">
        <v>5</v>
      </c>
      <c r="B23" s="1" t="s">
        <v>22</v>
      </c>
      <c r="C23" s="1" t="s">
        <v>23</v>
      </c>
      <c r="D23" s="1" t="s">
        <v>26</v>
      </c>
    </row>
    <row r="24" spans="1:4" x14ac:dyDescent="0.35">
      <c r="A24" s="8" t="s">
        <v>15</v>
      </c>
      <c r="B24" s="1">
        <v>75200</v>
      </c>
      <c r="C24" s="1">
        <v>51100</v>
      </c>
      <c r="D24" s="9">
        <v>0.67952127659574468</v>
      </c>
    </row>
    <row r="25" spans="1:4" x14ac:dyDescent="0.35">
      <c r="A25" s="8" t="s">
        <v>19</v>
      </c>
      <c r="B25" s="1">
        <v>80900</v>
      </c>
      <c r="C25" s="1">
        <v>54800</v>
      </c>
      <c r="D25" s="9">
        <v>0.67737948084054389</v>
      </c>
    </row>
    <row r="26" spans="1:4" x14ac:dyDescent="0.35">
      <c r="A26" s="8" t="s">
        <v>18</v>
      </c>
      <c r="B26" s="1">
        <v>82500</v>
      </c>
      <c r="C26" s="1">
        <v>53400</v>
      </c>
      <c r="D26" s="9">
        <v>0.64727272727272722</v>
      </c>
    </row>
    <row r="27" spans="1:4" x14ac:dyDescent="0.35">
      <c r="A27" s="8" t="s">
        <v>16</v>
      </c>
      <c r="B27" s="1">
        <v>81200</v>
      </c>
      <c r="C27" s="1">
        <v>51500</v>
      </c>
      <c r="D27" s="9">
        <v>0.63423645320197042</v>
      </c>
    </row>
    <row r="28" spans="1:4" x14ac:dyDescent="0.35">
      <c r="A28" s="8" t="s">
        <v>8</v>
      </c>
      <c r="B28" s="1">
        <v>74500</v>
      </c>
      <c r="C28" s="1">
        <v>46100</v>
      </c>
      <c r="D28" s="9">
        <v>0.61879194630872481</v>
      </c>
    </row>
    <row r="29" spans="1:4" x14ac:dyDescent="0.35">
      <c r="A29" s="8" t="s">
        <v>17</v>
      </c>
      <c r="B29" s="1">
        <v>79200</v>
      </c>
      <c r="C29" s="1">
        <v>48400</v>
      </c>
      <c r="D29" s="9">
        <v>0.61111111111111116</v>
      </c>
    </row>
    <row r="30" spans="1:4" x14ac:dyDescent="0.35">
      <c r="A30" s="8" t="s">
        <v>13</v>
      </c>
      <c r="B30" s="1">
        <v>69900</v>
      </c>
      <c r="C30" s="1">
        <v>42100</v>
      </c>
      <c r="D30" s="9">
        <v>0.60228898426323318</v>
      </c>
    </row>
    <row r="31" spans="1:4" x14ac:dyDescent="0.35">
      <c r="A31" s="8" t="s">
        <v>21</v>
      </c>
      <c r="B31" s="1">
        <v>543400</v>
      </c>
      <c r="C31" s="1">
        <v>347400</v>
      </c>
      <c r="D31" s="9">
        <v>0.63930806036069199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FB19-73F5-47EE-A63A-4CEC00760DD5}">
  <dimension ref="A1:L81"/>
  <sheetViews>
    <sheetView showGridLines="0" tabSelected="1" workbookViewId="0"/>
  </sheetViews>
  <sheetFormatPr defaultRowHeight="14.5" x14ac:dyDescent="0.35"/>
  <cols>
    <col min="1" max="1" width="16.7265625" bestFit="1" customWidth="1"/>
    <col min="2" max="2" width="11.26953125" bestFit="1" customWidth="1"/>
    <col min="3" max="3" width="16.36328125" bestFit="1" customWidth="1"/>
    <col min="4" max="4" width="18" bestFit="1" customWidth="1"/>
    <col min="5" max="5" width="16" bestFit="1" customWidth="1"/>
    <col min="6" max="6" width="6.08984375" bestFit="1" customWidth="1"/>
    <col min="7" max="7" width="9.6328125" bestFit="1" customWidth="1"/>
    <col min="8" max="8" width="24.08984375" bestFit="1" customWidth="1"/>
    <col min="9" max="9" width="10.36328125" bestFit="1" customWidth="1"/>
    <col min="10" max="10" width="16.54296875" bestFit="1" customWidth="1"/>
    <col min="11" max="11" width="22.08984375" bestFit="1" customWidth="1"/>
    <col min="12" max="12" width="57.08984375" bestFit="1" customWidth="1"/>
  </cols>
  <sheetData>
    <row r="1" spans="1:12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20</v>
      </c>
      <c r="I1" s="11" t="s">
        <v>28</v>
      </c>
      <c r="J1" s="11" t="s">
        <v>29</v>
      </c>
      <c r="K1" s="11" t="s">
        <v>30</v>
      </c>
      <c r="L1" s="12" t="s">
        <v>31</v>
      </c>
    </row>
    <row r="2" spans="1:12" x14ac:dyDescent="0.35">
      <c r="A2" s="3">
        <v>1001</v>
      </c>
      <c r="B2" s="2" t="s">
        <v>7</v>
      </c>
      <c r="C2" s="2">
        <v>5000</v>
      </c>
      <c r="D2" s="2">
        <v>3000</v>
      </c>
      <c r="E2" s="2">
        <v>5</v>
      </c>
      <c r="F2" s="2" t="s">
        <v>8</v>
      </c>
      <c r="G2" s="2" t="s">
        <v>9</v>
      </c>
      <c r="H2" s="4">
        <f>D2/C2</f>
        <v>0.6</v>
      </c>
      <c r="I2" s="2" t="s">
        <v>32</v>
      </c>
      <c r="J2" s="2">
        <v>120</v>
      </c>
      <c r="K2" s="2" t="s">
        <v>33</v>
      </c>
      <c r="L2" s="14" t="s">
        <v>34</v>
      </c>
    </row>
    <row r="3" spans="1:12" x14ac:dyDescent="0.35">
      <c r="A3" s="3">
        <v>1002</v>
      </c>
      <c r="B3" s="2" t="s">
        <v>10</v>
      </c>
      <c r="C3" s="2">
        <v>7000</v>
      </c>
      <c r="D3" s="2">
        <v>7000</v>
      </c>
      <c r="E3" s="2">
        <v>3</v>
      </c>
      <c r="F3" s="2" t="s">
        <v>8</v>
      </c>
      <c r="G3" s="2" t="s">
        <v>11</v>
      </c>
      <c r="H3" s="4">
        <f t="shared" ref="H3:H66" si="0">D3/C3</f>
        <v>1</v>
      </c>
      <c r="I3" s="2" t="s">
        <v>35</v>
      </c>
      <c r="J3" s="2">
        <v>45</v>
      </c>
      <c r="K3" s="2" t="s">
        <v>33</v>
      </c>
      <c r="L3" s="14" t="s">
        <v>36</v>
      </c>
    </row>
    <row r="4" spans="1:12" x14ac:dyDescent="0.35">
      <c r="A4" s="3">
        <v>1003</v>
      </c>
      <c r="B4" s="2" t="s">
        <v>12</v>
      </c>
      <c r="C4" s="2">
        <v>4000</v>
      </c>
      <c r="D4" s="2">
        <v>1000</v>
      </c>
      <c r="E4" s="2">
        <v>6</v>
      </c>
      <c r="F4" s="2" t="s">
        <v>13</v>
      </c>
      <c r="G4" s="2" t="s">
        <v>9</v>
      </c>
      <c r="H4" s="4">
        <f t="shared" si="0"/>
        <v>0.25</v>
      </c>
      <c r="I4" s="2" t="s">
        <v>37</v>
      </c>
      <c r="J4" s="2">
        <v>150</v>
      </c>
      <c r="K4" s="2" t="s">
        <v>38</v>
      </c>
      <c r="L4" s="14" t="s">
        <v>34</v>
      </c>
    </row>
    <row r="5" spans="1:12" x14ac:dyDescent="0.35">
      <c r="A5" s="3">
        <v>1004</v>
      </c>
      <c r="B5" s="2" t="s">
        <v>7</v>
      </c>
      <c r="C5" s="2">
        <v>6000</v>
      </c>
      <c r="D5" s="2">
        <v>4000</v>
      </c>
      <c r="E5" s="2">
        <v>4</v>
      </c>
      <c r="F5" s="2" t="s">
        <v>13</v>
      </c>
      <c r="G5" s="2" t="s">
        <v>14</v>
      </c>
      <c r="H5" s="4">
        <f t="shared" si="0"/>
        <v>0.66666666666666663</v>
      </c>
      <c r="I5" s="2" t="s">
        <v>39</v>
      </c>
      <c r="J5" s="2">
        <v>90</v>
      </c>
      <c r="K5" s="2" t="s">
        <v>33</v>
      </c>
      <c r="L5" s="14" t="s">
        <v>34</v>
      </c>
    </row>
    <row r="6" spans="1:12" x14ac:dyDescent="0.35">
      <c r="A6" s="3">
        <v>1005</v>
      </c>
      <c r="B6" s="2" t="s">
        <v>24</v>
      </c>
      <c r="C6" s="2">
        <v>8000</v>
      </c>
      <c r="D6" s="2">
        <v>5000</v>
      </c>
      <c r="E6" s="2">
        <v>7</v>
      </c>
      <c r="F6" s="2" t="s">
        <v>15</v>
      </c>
      <c r="G6" s="2" t="s">
        <v>9</v>
      </c>
      <c r="H6" s="4">
        <f t="shared" si="0"/>
        <v>0.625</v>
      </c>
      <c r="I6" s="2" t="s">
        <v>40</v>
      </c>
      <c r="J6" s="2">
        <v>160</v>
      </c>
      <c r="K6" s="2" t="s">
        <v>38</v>
      </c>
      <c r="L6" s="14" t="s">
        <v>34</v>
      </c>
    </row>
    <row r="7" spans="1:12" x14ac:dyDescent="0.35">
      <c r="A7" s="3">
        <v>1006</v>
      </c>
      <c r="B7" s="2" t="s">
        <v>25</v>
      </c>
      <c r="C7" s="2">
        <v>3000</v>
      </c>
      <c r="D7" s="2">
        <v>3000</v>
      </c>
      <c r="E7" s="2">
        <v>2</v>
      </c>
      <c r="F7" s="2" t="s">
        <v>8</v>
      </c>
      <c r="G7" s="2" t="s">
        <v>11</v>
      </c>
      <c r="H7" s="4">
        <f t="shared" si="0"/>
        <v>1</v>
      </c>
      <c r="I7" s="2" t="s">
        <v>32</v>
      </c>
      <c r="J7" s="2">
        <v>35</v>
      </c>
      <c r="K7" s="2" t="s">
        <v>33</v>
      </c>
      <c r="L7" s="14" t="s">
        <v>36</v>
      </c>
    </row>
    <row r="8" spans="1:12" x14ac:dyDescent="0.35">
      <c r="A8" s="3">
        <v>1007</v>
      </c>
      <c r="B8" s="2" t="s">
        <v>10</v>
      </c>
      <c r="C8" s="2">
        <v>9000</v>
      </c>
      <c r="D8" s="2">
        <v>6000</v>
      </c>
      <c r="E8" s="2">
        <v>5</v>
      </c>
      <c r="F8" s="2" t="s">
        <v>13</v>
      </c>
      <c r="G8" s="2" t="s">
        <v>14</v>
      </c>
      <c r="H8" s="4">
        <f t="shared" si="0"/>
        <v>0.66666666666666663</v>
      </c>
      <c r="I8" s="2" t="s">
        <v>37</v>
      </c>
      <c r="J8" s="2">
        <v>110</v>
      </c>
      <c r="K8" s="2" t="s">
        <v>33</v>
      </c>
      <c r="L8" s="14" t="s">
        <v>34</v>
      </c>
    </row>
    <row r="9" spans="1:12" x14ac:dyDescent="0.35">
      <c r="A9" s="3">
        <v>1008</v>
      </c>
      <c r="B9" s="2" t="s">
        <v>12</v>
      </c>
      <c r="C9" s="2">
        <v>4500</v>
      </c>
      <c r="D9" s="2">
        <v>2000</v>
      </c>
      <c r="E9" s="2">
        <v>6</v>
      </c>
      <c r="F9" s="2" t="s">
        <v>15</v>
      </c>
      <c r="G9" s="2" t="s">
        <v>9</v>
      </c>
      <c r="H9" s="4">
        <f t="shared" si="0"/>
        <v>0.44444444444444442</v>
      </c>
      <c r="I9" s="2" t="s">
        <v>35</v>
      </c>
      <c r="J9" s="2">
        <v>140</v>
      </c>
      <c r="K9" s="2" t="s">
        <v>38</v>
      </c>
      <c r="L9" s="14" t="s">
        <v>34</v>
      </c>
    </row>
    <row r="10" spans="1:12" x14ac:dyDescent="0.35">
      <c r="A10" s="3">
        <v>1009</v>
      </c>
      <c r="B10" s="2" t="s">
        <v>7</v>
      </c>
      <c r="C10" s="2">
        <v>7500</v>
      </c>
      <c r="D10" s="2">
        <v>7500</v>
      </c>
      <c r="E10" s="2">
        <v>3</v>
      </c>
      <c r="F10" s="2" t="s">
        <v>15</v>
      </c>
      <c r="G10" s="2" t="s">
        <v>11</v>
      </c>
      <c r="H10" s="4">
        <f t="shared" si="0"/>
        <v>1</v>
      </c>
      <c r="I10" s="2" t="s">
        <v>39</v>
      </c>
      <c r="J10" s="2">
        <v>60</v>
      </c>
      <c r="K10" s="2" t="s">
        <v>33</v>
      </c>
      <c r="L10" s="14" t="s">
        <v>36</v>
      </c>
    </row>
    <row r="11" spans="1:12" x14ac:dyDescent="0.35">
      <c r="A11" s="3">
        <v>1010</v>
      </c>
      <c r="B11" s="2" t="s">
        <v>25</v>
      </c>
      <c r="C11" s="2">
        <v>6200</v>
      </c>
      <c r="D11" s="2">
        <v>4000</v>
      </c>
      <c r="E11" s="2">
        <v>4</v>
      </c>
      <c r="F11" s="2" t="s">
        <v>13</v>
      </c>
      <c r="G11" s="2" t="s">
        <v>14</v>
      </c>
      <c r="H11" s="4">
        <f t="shared" si="0"/>
        <v>0.64516129032258063</v>
      </c>
      <c r="I11" s="2" t="s">
        <v>40</v>
      </c>
      <c r="J11" s="2">
        <v>100</v>
      </c>
      <c r="K11" s="2" t="s">
        <v>33</v>
      </c>
      <c r="L11" s="14" t="s">
        <v>34</v>
      </c>
    </row>
    <row r="12" spans="1:12" x14ac:dyDescent="0.35">
      <c r="A12" s="3">
        <v>1011</v>
      </c>
      <c r="B12" s="2" t="s">
        <v>24</v>
      </c>
      <c r="C12" s="2">
        <v>5100</v>
      </c>
      <c r="D12" s="2">
        <v>1000</v>
      </c>
      <c r="E12" s="2">
        <v>8</v>
      </c>
      <c r="F12" s="2" t="s">
        <v>16</v>
      </c>
      <c r="G12" s="2" t="s">
        <v>9</v>
      </c>
      <c r="H12" s="4">
        <f t="shared" si="0"/>
        <v>0.19607843137254902</v>
      </c>
      <c r="I12" s="2" t="s">
        <v>32</v>
      </c>
      <c r="J12" s="2">
        <v>170</v>
      </c>
      <c r="K12" s="2" t="s">
        <v>38</v>
      </c>
      <c r="L12" s="14" t="s">
        <v>34</v>
      </c>
    </row>
    <row r="13" spans="1:12" x14ac:dyDescent="0.35">
      <c r="A13" s="3">
        <v>1012</v>
      </c>
      <c r="B13" s="2" t="s">
        <v>10</v>
      </c>
      <c r="C13" s="2">
        <v>8300</v>
      </c>
      <c r="D13" s="2">
        <v>8300</v>
      </c>
      <c r="E13" s="2">
        <v>2</v>
      </c>
      <c r="F13" s="2" t="s">
        <v>16</v>
      </c>
      <c r="G13" s="2" t="s">
        <v>11</v>
      </c>
      <c r="H13" s="4">
        <f t="shared" si="0"/>
        <v>1</v>
      </c>
      <c r="I13" s="2" t="s">
        <v>37</v>
      </c>
      <c r="J13" s="2">
        <v>50</v>
      </c>
      <c r="K13" s="2" t="s">
        <v>33</v>
      </c>
      <c r="L13" s="14" t="s">
        <v>36</v>
      </c>
    </row>
    <row r="14" spans="1:12" x14ac:dyDescent="0.35">
      <c r="A14" s="3">
        <v>1013</v>
      </c>
      <c r="B14" s="2" t="s">
        <v>12</v>
      </c>
      <c r="C14" s="2">
        <v>3900</v>
      </c>
      <c r="D14" s="2">
        <v>1500</v>
      </c>
      <c r="E14" s="2">
        <v>5</v>
      </c>
      <c r="F14" s="2" t="s">
        <v>16</v>
      </c>
      <c r="G14" s="2" t="s">
        <v>9</v>
      </c>
      <c r="H14" s="4">
        <f t="shared" si="0"/>
        <v>0.38461538461538464</v>
      </c>
      <c r="I14" s="2" t="s">
        <v>39</v>
      </c>
      <c r="J14" s="2">
        <v>145</v>
      </c>
      <c r="K14" s="2" t="s">
        <v>38</v>
      </c>
      <c r="L14" s="14" t="s">
        <v>34</v>
      </c>
    </row>
    <row r="15" spans="1:12" x14ac:dyDescent="0.35">
      <c r="A15" s="3">
        <v>1014</v>
      </c>
      <c r="B15" s="2" t="s">
        <v>7</v>
      </c>
      <c r="C15" s="2">
        <v>7100</v>
      </c>
      <c r="D15" s="2">
        <v>5000</v>
      </c>
      <c r="E15" s="2">
        <v>4</v>
      </c>
      <c r="F15" s="2" t="s">
        <v>16</v>
      </c>
      <c r="G15" s="2" t="s">
        <v>14</v>
      </c>
      <c r="H15" s="4">
        <f t="shared" si="0"/>
        <v>0.70422535211267601</v>
      </c>
      <c r="I15" s="2" t="s">
        <v>40</v>
      </c>
      <c r="J15" s="2">
        <v>85</v>
      </c>
      <c r="K15" s="2" t="s">
        <v>33</v>
      </c>
      <c r="L15" s="14" t="s">
        <v>34</v>
      </c>
    </row>
    <row r="16" spans="1:12" x14ac:dyDescent="0.35">
      <c r="A16" s="3">
        <v>1015</v>
      </c>
      <c r="B16" s="2" t="s">
        <v>25</v>
      </c>
      <c r="C16" s="2">
        <v>6600</v>
      </c>
      <c r="D16" s="2">
        <v>6600</v>
      </c>
      <c r="E16" s="2">
        <v>3</v>
      </c>
      <c r="F16" s="2" t="s">
        <v>16</v>
      </c>
      <c r="G16" s="2" t="s">
        <v>11</v>
      </c>
      <c r="H16" s="4">
        <f t="shared" si="0"/>
        <v>1</v>
      </c>
      <c r="I16" s="2" t="s">
        <v>35</v>
      </c>
      <c r="J16" s="2">
        <v>40</v>
      </c>
      <c r="K16" s="2" t="s">
        <v>33</v>
      </c>
      <c r="L16" s="14" t="s">
        <v>36</v>
      </c>
    </row>
    <row r="17" spans="1:12" x14ac:dyDescent="0.35">
      <c r="A17" s="3">
        <v>1016</v>
      </c>
      <c r="B17" s="2" t="s">
        <v>24</v>
      </c>
      <c r="C17" s="2">
        <v>9200</v>
      </c>
      <c r="D17" s="2">
        <v>3000</v>
      </c>
      <c r="E17" s="2">
        <v>9</v>
      </c>
      <c r="F17" s="2" t="s">
        <v>17</v>
      </c>
      <c r="G17" s="2" t="s">
        <v>9</v>
      </c>
      <c r="H17" s="4">
        <f t="shared" si="0"/>
        <v>0.32608695652173914</v>
      </c>
      <c r="I17" s="2" t="s">
        <v>32</v>
      </c>
      <c r="J17" s="2">
        <v>175</v>
      </c>
      <c r="K17" s="2" t="s">
        <v>38</v>
      </c>
      <c r="L17" s="14" t="s">
        <v>34</v>
      </c>
    </row>
    <row r="18" spans="1:12" x14ac:dyDescent="0.35">
      <c r="A18" s="3">
        <v>1017</v>
      </c>
      <c r="B18" s="2" t="s">
        <v>10</v>
      </c>
      <c r="C18" s="2">
        <v>4800</v>
      </c>
      <c r="D18" s="2">
        <v>2500</v>
      </c>
      <c r="E18" s="2">
        <v>6</v>
      </c>
      <c r="F18" s="2" t="s">
        <v>17</v>
      </c>
      <c r="G18" s="2" t="s">
        <v>14</v>
      </c>
      <c r="H18" s="4">
        <f t="shared" si="0"/>
        <v>0.52083333333333337</v>
      </c>
      <c r="I18" s="2" t="s">
        <v>37</v>
      </c>
      <c r="J18" s="2">
        <v>95</v>
      </c>
      <c r="K18" s="2" t="s">
        <v>33</v>
      </c>
      <c r="L18" s="14" t="s">
        <v>34</v>
      </c>
    </row>
    <row r="19" spans="1:12" x14ac:dyDescent="0.35">
      <c r="A19" s="3">
        <v>1018</v>
      </c>
      <c r="B19" s="2" t="s">
        <v>12</v>
      </c>
      <c r="C19" s="2">
        <v>5300</v>
      </c>
      <c r="D19" s="2">
        <v>5300</v>
      </c>
      <c r="E19" s="2">
        <v>2</v>
      </c>
      <c r="F19" s="2" t="s">
        <v>17</v>
      </c>
      <c r="G19" s="2" t="s">
        <v>11</v>
      </c>
      <c r="H19" s="4">
        <f t="shared" si="0"/>
        <v>1</v>
      </c>
      <c r="I19" s="2" t="s">
        <v>39</v>
      </c>
      <c r="J19" s="2">
        <v>55</v>
      </c>
      <c r="K19" s="2" t="s">
        <v>33</v>
      </c>
      <c r="L19" s="14" t="s">
        <v>36</v>
      </c>
    </row>
    <row r="20" spans="1:12" x14ac:dyDescent="0.35">
      <c r="A20" s="3">
        <v>1019</v>
      </c>
      <c r="B20" s="2" t="s">
        <v>7</v>
      </c>
      <c r="C20" s="2">
        <v>6100</v>
      </c>
      <c r="D20" s="2">
        <v>2000</v>
      </c>
      <c r="E20" s="2">
        <v>7</v>
      </c>
      <c r="F20" s="2" t="s">
        <v>17</v>
      </c>
      <c r="G20" s="2" t="s">
        <v>9</v>
      </c>
      <c r="H20" s="4">
        <f t="shared" si="0"/>
        <v>0.32786885245901637</v>
      </c>
      <c r="I20" s="2" t="s">
        <v>40</v>
      </c>
      <c r="J20" s="2">
        <v>130</v>
      </c>
      <c r="K20" s="2" t="s">
        <v>38</v>
      </c>
      <c r="L20" s="14" t="s">
        <v>34</v>
      </c>
    </row>
    <row r="21" spans="1:12" x14ac:dyDescent="0.35">
      <c r="A21" s="3">
        <v>1020</v>
      </c>
      <c r="B21" s="2" t="s">
        <v>25</v>
      </c>
      <c r="C21" s="2">
        <v>7700</v>
      </c>
      <c r="D21" s="2">
        <v>5000</v>
      </c>
      <c r="E21" s="2">
        <v>5</v>
      </c>
      <c r="F21" s="2" t="s">
        <v>17</v>
      </c>
      <c r="G21" s="2" t="s">
        <v>14</v>
      </c>
      <c r="H21" s="4">
        <f t="shared" si="0"/>
        <v>0.64935064935064934</v>
      </c>
      <c r="I21" s="2" t="s">
        <v>35</v>
      </c>
      <c r="J21" s="2">
        <v>105</v>
      </c>
      <c r="K21" s="2" t="s">
        <v>33</v>
      </c>
      <c r="L21" s="14" t="s">
        <v>34</v>
      </c>
    </row>
    <row r="22" spans="1:12" x14ac:dyDescent="0.35">
      <c r="A22" s="3">
        <v>1021</v>
      </c>
      <c r="B22" s="2" t="s">
        <v>24</v>
      </c>
      <c r="C22" s="2">
        <v>3400</v>
      </c>
      <c r="D22" s="2">
        <v>3400</v>
      </c>
      <c r="E22" s="2">
        <v>2</v>
      </c>
      <c r="F22" s="2" t="s">
        <v>18</v>
      </c>
      <c r="G22" s="2" t="s">
        <v>11</v>
      </c>
      <c r="H22" s="4">
        <f t="shared" si="0"/>
        <v>1</v>
      </c>
      <c r="I22" s="2" t="s">
        <v>32</v>
      </c>
      <c r="J22" s="2">
        <v>30</v>
      </c>
      <c r="K22" s="2" t="s">
        <v>33</v>
      </c>
      <c r="L22" s="14" t="s">
        <v>36</v>
      </c>
    </row>
    <row r="23" spans="1:12" x14ac:dyDescent="0.35">
      <c r="A23" s="3">
        <v>1022</v>
      </c>
      <c r="B23" s="2" t="s">
        <v>10</v>
      </c>
      <c r="C23" s="2">
        <v>8800</v>
      </c>
      <c r="D23" s="2">
        <v>4000</v>
      </c>
      <c r="E23" s="2">
        <v>6</v>
      </c>
      <c r="F23" s="2" t="s">
        <v>18</v>
      </c>
      <c r="G23" s="2" t="s">
        <v>9</v>
      </c>
      <c r="H23" s="4">
        <f t="shared" si="0"/>
        <v>0.45454545454545453</v>
      </c>
      <c r="I23" s="2" t="s">
        <v>37</v>
      </c>
      <c r="J23" s="2">
        <v>165</v>
      </c>
      <c r="K23" s="2" t="s">
        <v>38</v>
      </c>
      <c r="L23" s="14" t="s">
        <v>34</v>
      </c>
    </row>
    <row r="24" spans="1:12" x14ac:dyDescent="0.35">
      <c r="A24" s="3">
        <v>1023</v>
      </c>
      <c r="B24" s="2" t="s">
        <v>12</v>
      </c>
      <c r="C24" s="2">
        <v>5600</v>
      </c>
      <c r="D24" s="2">
        <v>3500</v>
      </c>
      <c r="E24" s="2">
        <v>4</v>
      </c>
      <c r="F24" s="2" t="s">
        <v>18</v>
      </c>
      <c r="G24" s="2" t="s">
        <v>14</v>
      </c>
      <c r="H24" s="4">
        <f t="shared" si="0"/>
        <v>0.625</v>
      </c>
      <c r="I24" s="2" t="s">
        <v>39</v>
      </c>
      <c r="J24" s="2">
        <v>75</v>
      </c>
      <c r="K24" s="2" t="s">
        <v>33</v>
      </c>
      <c r="L24" s="14" t="s">
        <v>34</v>
      </c>
    </row>
    <row r="25" spans="1:12" x14ac:dyDescent="0.35">
      <c r="A25" s="3">
        <v>1024</v>
      </c>
      <c r="B25" s="2" t="s">
        <v>7</v>
      </c>
      <c r="C25" s="2">
        <v>9900</v>
      </c>
      <c r="D25" s="2">
        <v>9900</v>
      </c>
      <c r="E25" s="2">
        <v>1</v>
      </c>
      <c r="F25" s="2" t="s">
        <v>18</v>
      </c>
      <c r="G25" s="2" t="s">
        <v>11</v>
      </c>
      <c r="H25" s="4">
        <f t="shared" si="0"/>
        <v>1</v>
      </c>
      <c r="I25" s="2" t="s">
        <v>40</v>
      </c>
      <c r="J25" s="2">
        <v>48</v>
      </c>
      <c r="K25" s="2" t="s">
        <v>33</v>
      </c>
      <c r="L25" s="14" t="s">
        <v>36</v>
      </c>
    </row>
    <row r="26" spans="1:12" x14ac:dyDescent="0.35">
      <c r="A26" s="3">
        <v>1025</v>
      </c>
      <c r="B26" s="2" t="s">
        <v>25</v>
      </c>
      <c r="C26" s="2">
        <v>4500</v>
      </c>
      <c r="D26" s="2">
        <v>1000</v>
      </c>
      <c r="E26" s="2">
        <v>8</v>
      </c>
      <c r="F26" s="2" t="s">
        <v>18</v>
      </c>
      <c r="G26" s="2" t="s">
        <v>9</v>
      </c>
      <c r="H26" s="4">
        <f t="shared" si="0"/>
        <v>0.22222222222222221</v>
      </c>
      <c r="I26" s="2" t="s">
        <v>35</v>
      </c>
      <c r="J26" s="2">
        <v>155</v>
      </c>
      <c r="K26" s="2" t="s">
        <v>38</v>
      </c>
      <c r="L26" s="14" t="s">
        <v>34</v>
      </c>
    </row>
    <row r="27" spans="1:12" x14ac:dyDescent="0.35">
      <c r="A27" s="3">
        <v>1026</v>
      </c>
      <c r="B27" s="2" t="s">
        <v>24</v>
      </c>
      <c r="C27" s="2">
        <v>7300</v>
      </c>
      <c r="D27" s="2">
        <v>5000</v>
      </c>
      <c r="E27" s="2">
        <v>5</v>
      </c>
      <c r="F27" s="2" t="s">
        <v>19</v>
      </c>
      <c r="G27" s="2" t="s">
        <v>14</v>
      </c>
      <c r="H27" s="4">
        <f t="shared" si="0"/>
        <v>0.68493150684931503</v>
      </c>
      <c r="I27" s="2" t="s">
        <v>32</v>
      </c>
      <c r="J27" s="2">
        <v>88</v>
      </c>
      <c r="K27" s="2" t="s">
        <v>33</v>
      </c>
      <c r="L27" s="14" t="s">
        <v>34</v>
      </c>
    </row>
    <row r="28" spans="1:12" x14ac:dyDescent="0.35">
      <c r="A28" s="3">
        <v>1027</v>
      </c>
      <c r="B28" s="2" t="s">
        <v>10</v>
      </c>
      <c r="C28" s="2">
        <v>6100</v>
      </c>
      <c r="D28" s="2">
        <v>6100</v>
      </c>
      <c r="E28" s="2">
        <v>2</v>
      </c>
      <c r="F28" s="2" t="s">
        <v>19</v>
      </c>
      <c r="G28" s="2" t="s">
        <v>11</v>
      </c>
      <c r="H28" s="4">
        <f t="shared" si="0"/>
        <v>1</v>
      </c>
      <c r="I28" s="2" t="s">
        <v>37</v>
      </c>
      <c r="J28" s="2">
        <v>42</v>
      </c>
      <c r="K28" s="2" t="s">
        <v>33</v>
      </c>
      <c r="L28" s="14" t="s">
        <v>36</v>
      </c>
    </row>
    <row r="29" spans="1:12" x14ac:dyDescent="0.35">
      <c r="A29" s="3">
        <v>1028</v>
      </c>
      <c r="B29" s="2" t="s">
        <v>12</v>
      </c>
      <c r="C29" s="2">
        <v>8400</v>
      </c>
      <c r="D29" s="2">
        <v>3000</v>
      </c>
      <c r="E29" s="2">
        <v>7</v>
      </c>
      <c r="F29" s="2" t="s">
        <v>19</v>
      </c>
      <c r="G29" s="2" t="s">
        <v>9</v>
      </c>
      <c r="H29" s="4">
        <f t="shared" si="0"/>
        <v>0.35714285714285715</v>
      </c>
      <c r="I29" s="2" t="s">
        <v>39</v>
      </c>
      <c r="J29" s="2">
        <v>168</v>
      </c>
      <c r="K29" s="2" t="s">
        <v>38</v>
      </c>
      <c r="L29" s="14" t="s">
        <v>34</v>
      </c>
    </row>
    <row r="30" spans="1:12" x14ac:dyDescent="0.35">
      <c r="A30" s="3">
        <v>1029</v>
      </c>
      <c r="B30" s="2" t="s">
        <v>7</v>
      </c>
      <c r="C30" s="2">
        <v>5200</v>
      </c>
      <c r="D30" s="2">
        <v>4000</v>
      </c>
      <c r="E30" s="2">
        <v>4</v>
      </c>
      <c r="F30" s="2" t="s">
        <v>19</v>
      </c>
      <c r="G30" s="2" t="s">
        <v>14</v>
      </c>
      <c r="H30" s="4">
        <f t="shared" si="0"/>
        <v>0.76923076923076927</v>
      </c>
      <c r="I30" s="2" t="s">
        <v>40</v>
      </c>
      <c r="J30" s="2">
        <v>92</v>
      </c>
      <c r="K30" s="2" t="s">
        <v>33</v>
      </c>
      <c r="L30" s="14" t="s">
        <v>34</v>
      </c>
    </row>
    <row r="31" spans="1:12" x14ac:dyDescent="0.35">
      <c r="A31" s="3">
        <v>1030</v>
      </c>
      <c r="B31" s="2" t="s">
        <v>25</v>
      </c>
      <c r="C31" s="2">
        <v>6800</v>
      </c>
      <c r="D31" s="2">
        <v>6800</v>
      </c>
      <c r="E31" s="2">
        <v>3</v>
      </c>
      <c r="F31" s="2" t="s">
        <v>19</v>
      </c>
      <c r="G31" s="2" t="s">
        <v>11</v>
      </c>
      <c r="H31" s="4">
        <f t="shared" si="0"/>
        <v>1</v>
      </c>
      <c r="I31" s="2" t="s">
        <v>35</v>
      </c>
      <c r="J31" s="2">
        <v>38</v>
      </c>
      <c r="K31" s="2" t="s">
        <v>33</v>
      </c>
      <c r="L31" s="14" t="s">
        <v>36</v>
      </c>
    </row>
    <row r="32" spans="1:12" x14ac:dyDescent="0.35">
      <c r="A32" s="3">
        <v>1031</v>
      </c>
      <c r="B32" s="2" t="s">
        <v>7</v>
      </c>
      <c r="C32" s="2">
        <v>8100</v>
      </c>
      <c r="D32" s="2">
        <v>3000</v>
      </c>
      <c r="E32" s="2">
        <v>6</v>
      </c>
      <c r="F32" s="2" t="s">
        <v>8</v>
      </c>
      <c r="G32" s="2" t="s">
        <v>9</v>
      </c>
      <c r="H32" s="4">
        <f t="shared" si="0"/>
        <v>0.37037037037037035</v>
      </c>
      <c r="I32" s="2" t="s">
        <v>32</v>
      </c>
      <c r="J32" s="2">
        <v>150</v>
      </c>
      <c r="K32" s="2" t="s">
        <v>38</v>
      </c>
      <c r="L32" s="14" t="s">
        <v>34</v>
      </c>
    </row>
    <row r="33" spans="1:12" x14ac:dyDescent="0.35">
      <c r="A33" s="3">
        <v>1032</v>
      </c>
      <c r="B33" s="2" t="s">
        <v>10</v>
      </c>
      <c r="C33" s="2">
        <v>7200</v>
      </c>
      <c r="D33" s="2">
        <v>5000</v>
      </c>
      <c r="E33" s="2">
        <v>4</v>
      </c>
      <c r="F33" s="2" t="s">
        <v>13</v>
      </c>
      <c r="G33" s="2" t="s">
        <v>14</v>
      </c>
      <c r="H33" s="4">
        <f t="shared" si="0"/>
        <v>0.69444444444444442</v>
      </c>
      <c r="I33" s="2" t="s">
        <v>37</v>
      </c>
      <c r="J33" s="2">
        <v>98</v>
      </c>
      <c r="K33" s="2" t="s">
        <v>33</v>
      </c>
      <c r="L33" s="14" t="s">
        <v>34</v>
      </c>
    </row>
    <row r="34" spans="1:12" x14ac:dyDescent="0.35">
      <c r="A34" s="3">
        <v>1033</v>
      </c>
      <c r="B34" s="2" t="s">
        <v>12</v>
      </c>
      <c r="C34" s="2">
        <v>4600</v>
      </c>
      <c r="D34" s="2">
        <v>4600</v>
      </c>
      <c r="E34" s="2">
        <v>2</v>
      </c>
      <c r="F34" s="2" t="s">
        <v>15</v>
      </c>
      <c r="G34" s="2" t="s">
        <v>11</v>
      </c>
      <c r="H34" s="4">
        <f t="shared" si="0"/>
        <v>1</v>
      </c>
      <c r="I34" s="2" t="s">
        <v>39</v>
      </c>
      <c r="J34" s="2">
        <v>44</v>
      </c>
      <c r="K34" s="2" t="s">
        <v>33</v>
      </c>
      <c r="L34" s="14" t="s">
        <v>36</v>
      </c>
    </row>
    <row r="35" spans="1:12" x14ac:dyDescent="0.35">
      <c r="A35" s="3">
        <v>1034</v>
      </c>
      <c r="B35" s="2" t="s">
        <v>24</v>
      </c>
      <c r="C35" s="2">
        <v>9500</v>
      </c>
      <c r="D35" s="2">
        <v>2000</v>
      </c>
      <c r="E35" s="2">
        <v>9</v>
      </c>
      <c r="F35" s="2" t="s">
        <v>16</v>
      </c>
      <c r="G35" s="2" t="s">
        <v>9</v>
      </c>
      <c r="H35" s="4">
        <f t="shared" si="0"/>
        <v>0.21052631578947367</v>
      </c>
      <c r="I35" s="2" t="s">
        <v>40</v>
      </c>
      <c r="J35" s="2">
        <v>172</v>
      </c>
      <c r="K35" s="2" t="s">
        <v>38</v>
      </c>
      <c r="L35" s="14" t="s">
        <v>34</v>
      </c>
    </row>
    <row r="36" spans="1:12" x14ac:dyDescent="0.35">
      <c r="A36" s="3">
        <v>1035</v>
      </c>
      <c r="B36" s="2" t="s">
        <v>25</v>
      </c>
      <c r="C36" s="2">
        <v>5400</v>
      </c>
      <c r="D36" s="2">
        <v>3500</v>
      </c>
      <c r="E36" s="2">
        <v>5</v>
      </c>
      <c r="F36" s="2" t="s">
        <v>17</v>
      </c>
      <c r="G36" s="2" t="s">
        <v>14</v>
      </c>
      <c r="H36" s="4">
        <f t="shared" si="0"/>
        <v>0.64814814814814814</v>
      </c>
      <c r="I36" s="2" t="s">
        <v>35</v>
      </c>
      <c r="J36" s="2">
        <v>102</v>
      </c>
      <c r="K36" s="2" t="s">
        <v>33</v>
      </c>
      <c r="L36" s="14" t="s">
        <v>34</v>
      </c>
    </row>
    <row r="37" spans="1:12" x14ac:dyDescent="0.35">
      <c r="A37" s="3">
        <v>1036</v>
      </c>
      <c r="B37" s="2" t="s">
        <v>7</v>
      </c>
      <c r="C37" s="2">
        <v>6300</v>
      </c>
      <c r="D37" s="2">
        <v>6300</v>
      </c>
      <c r="E37" s="2">
        <v>2</v>
      </c>
      <c r="F37" s="2" t="s">
        <v>18</v>
      </c>
      <c r="G37" s="2" t="s">
        <v>11</v>
      </c>
      <c r="H37" s="4">
        <f t="shared" si="0"/>
        <v>1</v>
      </c>
      <c r="I37" s="2" t="s">
        <v>32</v>
      </c>
      <c r="J37" s="2">
        <v>36</v>
      </c>
      <c r="K37" s="2" t="s">
        <v>33</v>
      </c>
      <c r="L37" s="14" t="s">
        <v>36</v>
      </c>
    </row>
    <row r="38" spans="1:12" x14ac:dyDescent="0.35">
      <c r="A38" s="3">
        <v>1037</v>
      </c>
      <c r="B38" s="2" t="s">
        <v>10</v>
      </c>
      <c r="C38" s="2">
        <v>8700</v>
      </c>
      <c r="D38" s="2">
        <v>4200</v>
      </c>
      <c r="E38" s="2">
        <v>6</v>
      </c>
      <c r="F38" s="2" t="s">
        <v>19</v>
      </c>
      <c r="G38" s="2" t="s">
        <v>9</v>
      </c>
      <c r="H38" s="4">
        <f t="shared" si="0"/>
        <v>0.48275862068965519</v>
      </c>
      <c r="I38" s="2" t="s">
        <v>37</v>
      </c>
      <c r="J38" s="2">
        <v>158</v>
      </c>
      <c r="K38" s="2" t="s">
        <v>38</v>
      </c>
      <c r="L38" s="14" t="s">
        <v>34</v>
      </c>
    </row>
    <row r="39" spans="1:12" x14ac:dyDescent="0.35">
      <c r="A39" s="3">
        <v>1038</v>
      </c>
      <c r="B39" s="2" t="s">
        <v>12</v>
      </c>
      <c r="C39" s="2">
        <v>5800</v>
      </c>
      <c r="D39" s="2">
        <v>2500</v>
      </c>
      <c r="E39" s="2">
        <v>5</v>
      </c>
      <c r="F39" s="2" t="s">
        <v>8</v>
      </c>
      <c r="G39" s="2" t="s">
        <v>14</v>
      </c>
      <c r="H39" s="4">
        <f t="shared" si="0"/>
        <v>0.43103448275862066</v>
      </c>
      <c r="I39" s="2" t="s">
        <v>39</v>
      </c>
      <c r="J39" s="2">
        <v>89</v>
      </c>
      <c r="K39" s="2" t="s">
        <v>33</v>
      </c>
      <c r="L39" s="14" t="s">
        <v>34</v>
      </c>
    </row>
    <row r="40" spans="1:12" x14ac:dyDescent="0.35">
      <c r="A40" s="3">
        <v>1039</v>
      </c>
      <c r="B40" s="2" t="s">
        <v>24</v>
      </c>
      <c r="C40" s="2">
        <v>6100</v>
      </c>
      <c r="D40" s="2">
        <v>1000</v>
      </c>
      <c r="E40" s="2">
        <v>8</v>
      </c>
      <c r="F40" s="2" t="s">
        <v>13</v>
      </c>
      <c r="G40" s="2" t="s">
        <v>9</v>
      </c>
      <c r="H40" s="4">
        <f t="shared" si="0"/>
        <v>0.16393442622950818</v>
      </c>
      <c r="I40" s="2" t="s">
        <v>40</v>
      </c>
      <c r="J40" s="2">
        <v>166</v>
      </c>
      <c r="K40" s="2" t="s">
        <v>38</v>
      </c>
      <c r="L40" s="14" t="s">
        <v>34</v>
      </c>
    </row>
    <row r="41" spans="1:12" x14ac:dyDescent="0.35">
      <c r="A41" s="3">
        <v>1040</v>
      </c>
      <c r="B41" s="2" t="s">
        <v>25</v>
      </c>
      <c r="C41" s="2">
        <v>7600</v>
      </c>
      <c r="D41" s="2">
        <v>7600</v>
      </c>
      <c r="E41" s="2">
        <v>3</v>
      </c>
      <c r="F41" s="2" t="s">
        <v>15</v>
      </c>
      <c r="G41" s="2" t="s">
        <v>11</v>
      </c>
      <c r="H41" s="4">
        <f t="shared" si="0"/>
        <v>1</v>
      </c>
      <c r="I41" s="2" t="s">
        <v>35</v>
      </c>
      <c r="J41" s="2">
        <v>47</v>
      </c>
      <c r="K41" s="2" t="s">
        <v>33</v>
      </c>
      <c r="L41" s="14" t="s">
        <v>36</v>
      </c>
    </row>
    <row r="42" spans="1:12" x14ac:dyDescent="0.35">
      <c r="A42" s="3">
        <v>1041</v>
      </c>
      <c r="B42" s="2" t="s">
        <v>7</v>
      </c>
      <c r="C42" s="2">
        <v>8200</v>
      </c>
      <c r="D42" s="2">
        <v>6000</v>
      </c>
      <c r="E42" s="2">
        <v>4</v>
      </c>
      <c r="F42" s="2" t="s">
        <v>16</v>
      </c>
      <c r="G42" s="2" t="s">
        <v>14</v>
      </c>
      <c r="H42" s="4">
        <f t="shared" si="0"/>
        <v>0.73170731707317072</v>
      </c>
      <c r="I42" s="2" t="s">
        <v>32</v>
      </c>
      <c r="J42" s="2">
        <v>94</v>
      </c>
      <c r="K42" s="2" t="s">
        <v>33</v>
      </c>
      <c r="L42" s="14" t="s">
        <v>34</v>
      </c>
    </row>
    <row r="43" spans="1:12" x14ac:dyDescent="0.35">
      <c r="A43" s="3">
        <v>1042</v>
      </c>
      <c r="B43" s="2" t="s">
        <v>10</v>
      </c>
      <c r="C43" s="2">
        <v>4900</v>
      </c>
      <c r="D43" s="2">
        <v>2000</v>
      </c>
      <c r="E43" s="2">
        <v>7</v>
      </c>
      <c r="F43" s="2" t="s">
        <v>17</v>
      </c>
      <c r="G43" s="2" t="s">
        <v>9</v>
      </c>
      <c r="H43" s="4">
        <f t="shared" si="0"/>
        <v>0.40816326530612246</v>
      </c>
      <c r="I43" s="2" t="s">
        <v>37</v>
      </c>
      <c r="J43" s="2">
        <v>148</v>
      </c>
      <c r="K43" s="2" t="s">
        <v>38</v>
      </c>
      <c r="L43" s="14" t="s">
        <v>34</v>
      </c>
    </row>
    <row r="44" spans="1:12" x14ac:dyDescent="0.35">
      <c r="A44" s="3">
        <v>1043</v>
      </c>
      <c r="B44" s="2" t="s">
        <v>12</v>
      </c>
      <c r="C44" s="2">
        <v>7100</v>
      </c>
      <c r="D44" s="2">
        <v>7100</v>
      </c>
      <c r="E44" s="2">
        <v>2</v>
      </c>
      <c r="F44" s="2" t="s">
        <v>18</v>
      </c>
      <c r="G44" s="2" t="s">
        <v>11</v>
      </c>
      <c r="H44" s="4">
        <f t="shared" si="0"/>
        <v>1</v>
      </c>
      <c r="I44" s="2" t="s">
        <v>39</v>
      </c>
      <c r="J44" s="2">
        <v>41</v>
      </c>
      <c r="K44" s="2" t="s">
        <v>33</v>
      </c>
      <c r="L44" s="14" t="s">
        <v>36</v>
      </c>
    </row>
    <row r="45" spans="1:12" x14ac:dyDescent="0.35">
      <c r="A45" s="3">
        <v>1044</v>
      </c>
      <c r="B45" s="2" t="s">
        <v>24</v>
      </c>
      <c r="C45" s="2">
        <v>6400</v>
      </c>
      <c r="D45" s="2">
        <v>4500</v>
      </c>
      <c r="E45" s="2">
        <v>4</v>
      </c>
      <c r="F45" s="2" t="s">
        <v>19</v>
      </c>
      <c r="G45" s="2" t="s">
        <v>14</v>
      </c>
      <c r="H45" s="4">
        <f t="shared" si="0"/>
        <v>0.703125</v>
      </c>
      <c r="I45" s="2" t="s">
        <v>40</v>
      </c>
      <c r="J45" s="2">
        <v>86</v>
      </c>
      <c r="K45" s="2" t="s">
        <v>33</v>
      </c>
      <c r="L45" s="14" t="s">
        <v>34</v>
      </c>
    </row>
    <row r="46" spans="1:12" x14ac:dyDescent="0.35">
      <c r="A46" s="3">
        <v>1045</v>
      </c>
      <c r="B46" s="2" t="s">
        <v>25</v>
      </c>
      <c r="C46" s="2">
        <v>8800</v>
      </c>
      <c r="D46" s="2">
        <v>3000</v>
      </c>
      <c r="E46" s="2">
        <v>8</v>
      </c>
      <c r="F46" s="2" t="s">
        <v>8</v>
      </c>
      <c r="G46" s="2" t="s">
        <v>9</v>
      </c>
      <c r="H46" s="4">
        <f t="shared" si="0"/>
        <v>0.34090909090909088</v>
      </c>
      <c r="I46" s="2" t="s">
        <v>35</v>
      </c>
      <c r="J46" s="2">
        <v>162</v>
      </c>
      <c r="K46" s="2" t="s">
        <v>38</v>
      </c>
      <c r="L46" s="14" t="s">
        <v>34</v>
      </c>
    </row>
    <row r="47" spans="1:12" x14ac:dyDescent="0.35">
      <c r="A47" s="3">
        <v>1046</v>
      </c>
      <c r="B47" s="2" t="s">
        <v>7</v>
      </c>
      <c r="C47" s="2">
        <v>5700</v>
      </c>
      <c r="D47" s="2">
        <v>5700</v>
      </c>
      <c r="E47" s="2">
        <v>2</v>
      </c>
      <c r="F47" s="2" t="s">
        <v>13</v>
      </c>
      <c r="G47" s="2" t="s">
        <v>11</v>
      </c>
      <c r="H47" s="4">
        <f t="shared" si="0"/>
        <v>1</v>
      </c>
      <c r="I47" s="2" t="s">
        <v>32</v>
      </c>
      <c r="J47" s="2">
        <v>39</v>
      </c>
      <c r="K47" s="2" t="s">
        <v>33</v>
      </c>
      <c r="L47" s="14" t="s">
        <v>36</v>
      </c>
    </row>
    <row r="48" spans="1:12" x14ac:dyDescent="0.35">
      <c r="A48" s="3">
        <v>1047</v>
      </c>
      <c r="B48" s="2" t="s">
        <v>10</v>
      </c>
      <c r="C48" s="2">
        <v>9200</v>
      </c>
      <c r="D48" s="2">
        <v>5000</v>
      </c>
      <c r="E48" s="2">
        <v>6</v>
      </c>
      <c r="F48" s="2" t="s">
        <v>15</v>
      </c>
      <c r="G48" s="2" t="s">
        <v>14</v>
      </c>
      <c r="H48" s="4">
        <f t="shared" si="0"/>
        <v>0.54347826086956519</v>
      </c>
      <c r="I48" s="2" t="s">
        <v>37</v>
      </c>
      <c r="J48" s="2">
        <v>97</v>
      </c>
      <c r="K48" s="2" t="s">
        <v>33</v>
      </c>
      <c r="L48" s="14" t="s">
        <v>34</v>
      </c>
    </row>
    <row r="49" spans="1:12" x14ac:dyDescent="0.35">
      <c r="A49" s="3">
        <v>1048</v>
      </c>
      <c r="B49" s="2" t="s">
        <v>12</v>
      </c>
      <c r="C49" s="2">
        <v>6100</v>
      </c>
      <c r="D49" s="2">
        <v>1500</v>
      </c>
      <c r="E49" s="2">
        <v>7</v>
      </c>
      <c r="F49" s="2" t="s">
        <v>16</v>
      </c>
      <c r="G49" s="2" t="s">
        <v>9</v>
      </c>
      <c r="H49" s="4">
        <f t="shared" si="0"/>
        <v>0.24590163934426229</v>
      </c>
      <c r="I49" s="2" t="s">
        <v>39</v>
      </c>
      <c r="J49" s="2">
        <v>170</v>
      </c>
      <c r="K49" s="2" t="s">
        <v>38</v>
      </c>
      <c r="L49" s="14" t="s">
        <v>34</v>
      </c>
    </row>
    <row r="50" spans="1:12" x14ac:dyDescent="0.35">
      <c r="A50" s="3">
        <v>1049</v>
      </c>
      <c r="B50" s="2" t="s">
        <v>24</v>
      </c>
      <c r="C50" s="2">
        <v>7500</v>
      </c>
      <c r="D50" s="2">
        <v>7500</v>
      </c>
      <c r="E50" s="2">
        <v>1</v>
      </c>
      <c r="F50" s="2" t="s">
        <v>17</v>
      </c>
      <c r="G50" s="2" t="s">
        <v>11</v>
      </c>
      <c r="H50" s="4">
        <f t="shared" si="0"/>
        <v>1</v>
      </c>
      <c r="I50" s="2" t="s">
        <v>40</v>
      </c>
      <c r="J50" s="2">
        <v>33</v>
      </c>
      <c r="K50" s="2" t="s">
        <v>33</v>
      </c>
      <c r="L50" s="14" t="s">
        <v>36</v>
      </c>
    </row>
    <row r="51" spans="1:12" x14ac:dyDescent="0.35">
      <c r="A51" s="3">
        <v>1050</v>
      </c>
      <c r="B51" s="2" t="s">
        <v>25</v>
      </c>
      <c r="C51" s="2">
        <v>5300</v>
      </c>
      <c r="D51" s="2">
        <v>3200</v>
      </c>
      <c r="E51" s="2">
        <v>5</v>
      </c>
      <c r="F51" s="2" t="s">
        <v>18</v>
      </c>
      <c r="G51" s="2" t="s">
        <v>14</v>
      </c>
      <c r="H51" s="4">
        <f t="shared" si="0"/>
        <v>0.60377358490566035</v>
      </c>
      <c r="I51" s="2" t="s">
        <v>35</v>
      </c>
      <c r="J51" s="2">
        <v>90</v>
      </c>
      <c r="K51" s="2" t="s">
        <v>33</v>
      </c>
      <c r="L51" s="14" t="s">
        <v>34</v>
      </c>
    </row>
    <row r="52" spans="1:12" x14ac:dyDescent="0.35">
      <c r="A52" s="3">
        <v>1051</v>
      </c>
      <c r="B52" s="2" t="s">
        <v>7</v>
      </c>
      <c r="C52" s="2">
        <v>6600</v>
      </c>
      <c r="D52" s="2">
        <v>2000</v>
      </c>
      <c r="E52" s="2">
        <v>6</v>
      </c>
      <c r="F52" s="2" t="s">
        <v>19</v>
      </c>
      <c r="G52" s="2" t="s">
        <v>9</v>
      </c>
      <c r="H52" s="4">
        <f t="shared" si="0"/>
        <v>0.30303030303030304</v>
      </c>
      <c r="I52" s="2" t="s">
        <v>32</v>
      </c>
      <c r="J52" s="2">
        <v>155</v>
      </c>
      <c r="K52" s="2" t="s">
        <v>38</v>
      </c>
      <c r="L52" s="14" t="s">
        <v>34</v>
      </c>
    </row>
    <row r="53" spans="1:12" x14ac:dyDescent="0.35">
      <c r="A53" s="3">
        <v>1052</v>
      </c>
      <c r="B53" s="2" t="s">
        <v>10</v>
      </c>
      <c r="C53" s="2">
        <v>8000</v>
      </c>
      <c r="D53" s="2">
        <v>8000</v>
      </c>
      <c r="E53" s="2">
        <v>2</v>
      </c>
      <c r="F53" s="2" t="s">
        <v>8</v>
      </c>
      <c r="G53" s="2" t="s">
        <v>11</v>
      </c>
      <c r="H53" s="4">
        <f t="shared" si="0"/>
        <v>1</v>
      </c>
      <c r="I53" s="2" t="s">
        <v>37</v>
      </c>
      <c r="J53" s="2">
        <v>46</v>
      </c>
      <c r="K53" s="2" t="s">
        <v>33</v>
      </c>
      <c r="L53" s="14" t="s">
        <v>36</v>
      </c>
    </row>
    <row r="54" spans="1:12" x14ac:dyDescent="0.35">
      <c r="A54" s="3">
        <v>1053</v>
      </c>
      <c r="B54" s="2" t="s">
        <v>12</v>
      </c>
      <c r="C54" s="2">
        <v>4700</v>
      </c>
      <c r="D54" s="2">
        <v>3000</v>
      </c>
      <c r="E54" s="2">
        <v>4</v>
      </c>
      <c r="F54" s="2" t="s">
        <v>13</v>
      </c>
      <c r="G54" s="2" t="s">
        <v>14</v>
      </c>
      <c r="H54" s="4">
        <f t="shared" si="0"/>
        <v>0.63829787234042556</v>
      </c>
      <c r="I54" s="2" t="s">
        <v>39</v>
      </c>
      <c r="J54" s="2">
        <v>84</v>
      </c>
      <c r="K54" s="2" t="s">
        <v>33</v>
      </c>
      <c r="L54" s="14" t="s">
        <v>34</v>
      </c>
    </row>
    <row r="55" spans="1:12" x14ac:dyDescent="0.35">
      <c r="A55" s="3">
        <v>1054</v>
      </c>
      <c r="B55" s="2" t="s">
        <v>24</v>
      </c>
      <c r="C55" s="2">
        <v>9900</v>
      </c>
      <c r="D55" s="2">
        <v>4000</v>
      </c>
      <c r="E55" s="2">
        <v>9</v>
      </c>
      <c r="F55" s="2" t="s">
        <v>15</v>
      </c>
      <c r="G55" s="2" t="s">
        <v>9</v>
      </c>
      <c r="H55" s="4">
        <f t="shared" si="0"/>
        <v>0.40404040404040403</v>
      </c>
      <c r="I55" s="2" t="s">
        <v>40</v>
      </c>
      <c r="J55" s="2">
        <v>178</v>
      </c>
      <c r="K55" s="2" t="s">
        <v>38</v>
      </c>
      <c r="L55" s="14" t="s">
        <v>34</v>
      </c>
    </row>
    <row r="56" spans="1:12" x14ac:dyDescent="0.35">
      <c r="A56" s="3">
        <v>1055</v>
      </c>
      <c r="B56" s="2" t="s">
        <v>25</v>
      </c>
      <c r="C56" s="2">
        <v>7200</v>
      </c>
      <c r="D56" s="2">
        <v>7200</v>
      </c>
      <c r="E56" s="2">
        <v>3</v>
      </c>
      <c r="F56" s="2" t="s">
        <v>16</v>
      </c>
      <c r="G56" s="2" t="s">
        <v>11</v>
      </c>
      <c r="H56" s="4">
        <f t="shared" si="0"/>
        <v>1</v>
      </c>
      <c r="I56" s="2" t="s">
        <v>35</v>
      </c>
      <c r="J56" s="2">
        <v>37</v>
      </c>
      <c r="K56" s="2" t="s">
        <v>33</v>
      </c>
      <c r="L56" s="14" t="s">
        <v>36</v>
      </c>
    </row>
    <row r="57" spans="1:12" x14ac:dyDescent="0.35">
      <c r="A57" s="3">
        <v>1056</v>
      </c>
      <c r="B57" s="2" t="s">
        <v>7</v>
      </c>
      <c r="C57" s="2">
        <v>6100</v>
      </c>
      <c r="D57" s="2">
        <v>4500</v>
      </c>
      <c r="E57" s="2">
        <v>4</v>
      </c>
      <c r="F57" s="2" t="s">
        <v>17</v>
      </c>
      <c r="G57" s="2" t="s">
        <v>14</v>
      </c>
      <c r="H57" s="4">
        <f t="shared" si="0"/>
        <v>0.73770491803278693</v>
      </c>
      <c r="I57" s="2" t="s">
        <v>32</v>
      </c>
      <c r="J57" s="2">
        <v>93</v>
      </c>
      <c r="K57" s="2" t="s">
        <v>33</v>
      </c>
      <c r="L57" s="14" t="s">
        <v>34</v>
      </c>
    </row>
    <row r="58" spans="1:12" x14ac:dyDescent="0.35">
      <c r="A58" s="3">
        <v>1057</v>
      </c>
      <c r="B58" s="2" t="s">
        <v>10</v>
      </c>
      <c r="C58" s="2">
        <v>8500</v>
      </c>
      <c r="D58" s="2">
        <v>2000</v>
      </c>
      <c r="E58" s="2">
        <v>8</v>
      </c>
      <c r="F58" s="2" t="s">
        <v>18</v>
      </c>
      <c r="G58" s="2" t="s">
        <v>9</v>
      </c>
      <c r="H58" s="4">
        <f t="shared" si="0"/>
        <v>0.23529411764705882</v>
      </c>
      <c r="I58" s="2" t="s">
        <v>37</v>
      </c>
      <c r="J58" s="2">
        <v>169</v>
      </c>
      <c r="K58" s="2" t="s">
        <v>38</v>
      </c>
      <c r="L58" s="14" t="s">
        <v>34</v>
      </c>
    </row>
    <row r="59" spans="1:12" x14ac:dyDescent="0.35">
      <c r="A59" s="3">
        <v>1058</v>
      </c>
      <c r="B59" s="2" t="s">
        <v>12</v>
      </c>
      <c r="C59" s="2">
        <v>6900</v>
      </c>
      <c r="D59" s="2">
        <v>6900</v>
      </c>
      <c r="E59" s="2">
        <v>2</v>
      </c>
      <c r="F59" s="2" t="s">
        <v>19</v>
      </c>
      <c r="G59" s="2" t="s">
        <v>11</v>
      </c>
      <c r="H59" s="4">
        <f t="shared" si="0"/>
        <v>1</v>
      </c>
      <c r="I59" s="2" t="s">
        <v>39</v>
      </c>
      <c r="J59" s="2">
        <v>40</v>
      </c>
      <c r="K59" s="2" t="s">
        <v>33</v>
      </c>
      <c r="L59" s="14" t="s">
        <v>36</v>
      </c>
    </row>
    <row r="60" spans="1:12" x14ac:dyDescent="0.35">
      <c r="A60" s="3">
        <v>1059</v>
      </c>
      <c r="B60" s="2" t="s">
        <v>24</v>
      </c>
      <c r="C60" s="2">
        <v>5600</v>
      </c>
      <c r="D60" s="2">
        <v>3500</v>
      </c>
      <c r="E60" s="2">
        <v>5</v>
      </c>
      <c r="F60" s="2" t="s">
        <v>8</v>
      </c>
      <c r="G60" s="2" t="s">
        <v>14</v>
      </c>
      <c r="H60" s="4">
        <f t="shared" si="0"/>
        <v>0.625</v>
      </c>
      <c r="I60" s="2" t="s">
        <v>40</v>
      </c>
      <c r="J60" s="2">
        <v>88</v>
      </c>
      <c r="K60" s="2" t="s">
        <v>33</v>
      </c>
      <c r="L60" s="14" t="s">
        <v>34</v>
      </c>
    </row>
    <row r="61" spans="1:12" x14ac:dyDescent="0.35">
      <c r="A61" s="3">
        <v>1060</v>
      </c>
      <c r="B61" s="2" t="s">
        <v>25</v>
      </c>
      <c r="C61" s="2">
        <v>9100</v>
      </c>
      <c r="D61" s="2">
        <v>3000</v>
      </c>
      <c r="E61" s="2">
        <v>7</v>
      </c>
      <c r="F61" s="2" t="s">
        <v>13</v>
      </c>
      <c r="G61" s="2" t="s">
        <v>9</v>
      </c>
      <c r="H61" s="4">
        <f t="shared" si="0"/>
        <v>0.32967032967032966</v>
      </c>
      <c r="I61" s="2" t="s">
        <v>35</v>
      </c>
      <c r="J61" s="2">
        <v>173</v>
      </c>
      <c r="K61" s="2" t="s">
        <v>38</v>
      </c>
      <c r="L61" s="14" t="s">
        <v>34</v>
      </c>
    </row>
    <row r="62" spans="1:12" x14ac:dyDescent="0.35">
      <c r="A62" s="3">
        <v>1061</v>
      </c>
      <c r="B62" s="2" t="s">
        <v>7</v>
      </c>
      <c r="C62" s="2">
        <v>7400</v>
      </c>
      <c r="D62" s="2">
        <v>7400</v>
      </c>
      <c r="E62" s="2">
        <v>2</v>
      </c>
      <c r="F62" s="2" t="s">
        <v>15</v>
      </c>
      <c r="G62" s="2" t="s">
        <v>11</v>
      </c>
      <c r="H62" s="4">
        <f t="shared" si="0"/>
        <v>1</v>
      </c>
      <c r="I62" s="2" t="s">
        <v>32</v>
      </c>
      <c r="J62" s="2">
        <v>49</v>
      </c>
      <c r="K62" s="2" t="s">
        <v>33</v>
      </c>
      <c r="L62" s="14" t="s">
        <v>36</v>
      </c>
    </row>
    <row r="63" spans="1:12" x14ac:dyDescent="0.35">
      <c r="A63" s="3">
        <v>1062</v>
      </c>
      <c r="B63" s="2" t="s">
        <v>10</v>
      </c>
      <c r="C63" s="2">
        <v>6200</v>
      </c>
      <c r="D63" s="2">
        <v>4100</v>
      </c>
      <c r="E63" s="2">
        <v>4</v>
      </c>
      <c r="F63" s="2" t="s">
        <v>16</v>
      </c>
      <c r="G63" s="2" t="s">
        <v>14</v>
      </c>
      <c r="H63" s="4">
        <f t="shared" si="0"/>
        <v>0.66129032258064513</v>
      </c>
      <c r="I63" s="2" t="s">
        <v>37</v>
      </c>
      <c r="J63" s="2">
        <v>91</v>
      </c>
      <c r="K63" s="2" t="s">
        <v>33</v>
      </c>
      <c r="L63" s="14" t="s">
        <v>34</v>
      </c>
    </row>
    <row r="64" spans="1:12" x14ac:dyDescent="0.35">
      <c r="A64" s="3">
        <v>1063</v>
      </c>
      <c r="B64" s="2" t="s">
        <v>12</v>
      </c>
      <c r="C64" s="2">
        <v>8800</v>
      </c>
      <c r="D64" s="2">
        <v>2000</v>
      </c>
      <c r="E64" s="2">
        <v>8</v>
      </c>
      <c r="F64" s="2" t="s">
        <v>17</v>
      </c>
      <c r="G64" s="2" t="s">
        <v>9</v>
      </c>
      <c r="H64" s="4">
        <f t="shared" si="0"/>
        <v>0.22727272727272727</v>
      </c>
      <c r="I64" s="2" t="s">
        <v>39</v>
      </c>
      <c r="J64" s="2">
        <v>176</v>
      </c>
      <c r="K64" s="2" t="s">
        <v>38</v>
      </c>
      <c r="L64" s="14" t="s">
        <v>34</v>
      </c>
    </row>
    <row r="65" spans="1:12" x14ac:dyDescent="0.35">
      <c r="A65" s="3">
        <v>1064</v>
      </c>
      <c r="B65" s="2" t="s">
        <v>24</v>
      </c>
      <c r="C65" s="2">
        <v>5000</v>
      </c>
      <c r="D65" s="2">
        <v>5000</v>
      </c>
      <c r="E65" s="2">
        <v>2</v>
      </c>
      <c r="F65" s="2" t="s">
        <v>18</v>
      </c>
      <c r="G65" s="2" t="s">
        <v>11</v>
      </c>
      <c r="H65" s="4">
        <f t="shared" si="0"/>
        <v>1</v>
      </c>
      <c r="I65" s="2" t="s">
        <v>40</v>
      </c>
      <c r="J65" s="2">
        <v>34</v>
      </c>
      <c r="K65" s="2" t="s">
        <v>33</v>
      </c>
      <c r="L65" s="14" t="s">
        <v>36</v>
      </c>
    </row>
    <row r="66" spans="1:12" x14ac:dyDescent="0.35">
      <c r="A66" s="3">
        <v>1065</v>
      </c>
      <c r="B66" s="2" t="s">
        <v>25</v>
      </c>
      <c r="C66" s="2">
        <v>7700</v>
      </c>
      <c r="D66" s="2">
        <v>4800</v>
      </c>
      <c r="E66" s="2">
        <v>5</v>
      </c>
      <c r="F66" s="2" t="s">
        <v>19</v>
      </c>
      <c r="G66" s="2" t="s">
        <v>14</v>
      </c>
      <c r="H66" s="4">
        <f t="shared" si="0"/>
        <v>0.62337662337662336</v>
      </c>
      <c r="I66" s="2" t="s">
        <v>35</v>
      </c>
      <c r="J66" s="2">
        <v>96</v>
      </c>
      <c r="K66" s="2" t="s">
        <v>33</v>
      </c>
      <c r="L66" s="14" t="s">
        <v>34</v>
      </c>
    </row>
    <row r="67" spans="1:12" x14ac:dyDescent="0.35">
      <c r="A67" s="3">
        <v>1066</v>
      </c>
      <c r="B67" s="2" t="s">
        <v>7</v>
      </c>
      <c r="C67" s="2">
        <v>6900</v>
      </c>
      <c r="D67" s="2">
        <v>1000</v>
      </c>
      <c r="E67" s="2">
        <v>9</v>
      </c>
      <c r="F67" s="2" t="s">
        <v>8</v>
      </c>
      <c r="G67" s="2" t="s">
        <v>9</v>
      </c>
      <c r="H67" s="4">
        <f t="shared" ref="H67:H81" si="1">D67/C67</f>
        <v>0.14492753623188406</v>
      </c>
      <c r="I67" s="2" t="s">
        <v>32</v>
      </c>
      <c r="J67" s="2">
        <v>180</v>
      </c>
      <c r="K67" s="2" t="s">
        <v>38</v>
      </c>
      <c r="L67" s="14" t="s">
        <v>34</v>
      </c>
    </row>
    <row r="68" spans="1:12" x14ac:dyDescent="0.35">
      <c r="A68" s="3">
        <v>1067</v>
      </c>
      <c r="B68" s="2" t="s">
        <v>10</v>
      </c>
      <c r="C68" s="2">
        <v>5400</v>
      </c>
      <c r="D68" s="2">
        <v>5400</v>
      </c>
      <c r="E68" s="2">
        <v>2</v>
      </c>
      <c r="F68" s="2" t="s">
        <v>13</v>
      </c>
      <c r="G68" s="2" t="s">
        <v>11</v>
      </c>
      <c r="H68" s="4">
        <f t="shared" si="1"/>
        <v>1</v>
      </c>
      <c r="I68" s="2" t="s">
        <v>37</v>
      </c>
      <c r="J68" s="2">
        <v>43</v>
      </c>
      <c r="K68" s="2" t="s">
        <v>33</v>
      </c>
      <c r="L68" s="14" t="s">
        <v>36</v>
      </c>
    </row>
    <row r="69" spans="1:12" x14ac:dyDescent="0.35">
      <c r="A69" s="3">
        <v>1068</v>
      </c>
      <c r="B69" s="2" t="s">
        <v>12</v>
      </c>
      <c r="C69" s="2">
        <v>8300</v>
      </c>
      <c r="D69" s="2">
        <v>6000</v>
      </c>
      <c r="E69" s="2">
        <v>4</v>
      </c>
      <c r="F69" s="2" t="s">
        <v>15</v>
      </c>
      <c r="G69" s="2" t="s">
        <v>14</v>
      </c>
      <c r="H69" s="4">
        <f t="shared" si="1"/>
        <v>0.72289156626506024</v>
      </c>
      <c r="I69" s="2" t="s">
        <v>39</v>
      </c>
      <c r="J69" s="2">
        <v>87</v>
      </c>
      <c r="K69" s="2" t="s">
        <v>33</v>
      </c>
      <c r="L69" s="14" t="s">
        <v>34</v>
      </c>
    </row>
    <row r="70" spans="1:12" x14ac:dyDescent="0.35">
      <c r="A70" s="3">
        <v>1069</v>
      </c>
      <c r="B70" s="2" t="s">
        <v>24</v>
      </c>
      <c r="C70" s="2">
        <v>7200</v>
      </c>
      <c r="D70" s="2">
        <v>2500</v>
      </c>
      <c r="E70" s="2">
        <v>6</v>
      </c>
      <c r="F70" s="2" t="s">
        <v>16</v>
      </c>
      <c r="G70" s="2" t="s">
        <v>9</v>
      </c>
      <c r="H70" s="4">
        <f t="shared" si="1"/>
        <v>0.34722222222222221</v>
      </c>
      <c r="I70" s="2" t="s">
        <v>40</v>
      </c>
      <c r="J70" s="2">
        <v>168</v>
      </c>
      <c r="K70" s="2" t="s">
        <v>38</v>
      </c>
      <c r="L70" s="14" t="s">
        <v>34</v>
      </c>
    </row>
    <row r="71" spans="1:12" x14ac:dyDescent="0.35">
      <c r="A71" s="3">
        <v>1070</v>
      </c>
      <c r="B71" s="2" t="s">
        <v>25</v>
      </c>
      <c r="C71" s="2">
        <v>6100</v>
      </c>
      <c r="D71" s="2">
        <v>6100</v>
      </c>
      <c r="E71" s="2">
        <v>2</v>
      </c>
      <c r="F71" s="2" t="s">
        <v>17</v>
      </c>
      <c r="G71" s="2" t="s">
        <v>11</v>
      </c>
      <c r="H71" s="4">
        <f t="shared" si="1"/>
        <v>1</v>
      </c>
      <c r="I71" s="2" t="s">
        <v>35</v>
      </c>
      <c r="J71" s="2">
        <v>36</v>
      </c>
      <c r="K71" s="2" t="s">
        <v>33</v>
      </c>
      <c r="L71" s="14" t="s">
        <v>36</v>
      </c>
    </row>
    <row r="72" spans="1:12" x14ac:dyDescent="0.35">
      <c r="A72" s="3">
        <v>1071</v>
      </c>
      <c r="B72" s="2" t="s">
        <v>7</v>
      </c>
      <c r="C72" s="2">
        <v>9000</v>
      </c>
      <c r="D72" s="2">
        <v>5000</v>
      </c>
      <c r="E72" s="2">
        <v>5</v>
      </c>
      <c r="F72" s="2" t="s">
        <v>18</v>
      </c>
      <c r="G72" s="2" t="s">
        <v>14</v>
      </c>
      <c r="H72" s="4">
        <f t="shared" si="1"/>
        <v>0.55555555555555558</v>
      </c>
      <c r="I72" s="2" t="s">
        <v>32</v>
      </c>
      <c r="J72" s="2">
        <v>101</v>
      </c>
      <c r="K72" s="2" t="s">
        <v>33</v>
      </c>
      <c r="L72" s="14" t="s">
        <v>34</v>
      </c>
    </row>
    <row r="73" spans="1:12" x14ac:dyDescent="0.35">
      <c r="A73" s="3">
        <v>1072</v>
      </c>
      <c r="B73" s="2" t="s">
        <v>10</v>
      </c>
      <c r="C73" s="2">
        <v>4800</v>
      </c>
      <c r="D73" s="2">
        <v>1500</v>
      </c>
      <c r="E73" s="2">
        <v>7</v>
      </c>
      <c r="F73" s="2" t="s">
        <v>19</v>
      </c>
      <c r="G73" s="2" t="s">
        <v>9</v>
      </c>
      <c r="H73" s="4">
        <f t="shared" si="1"/>
        <v>0.3125</v>
      </c>
      <c r="I73" s="2" t="s">
        <v>37</v>
      </c>
      <c r="J73" s="2">
        <v>160</v>
      </c>
      <c r="K73" s="2" t="s">
        <v>38</v>
      </c>
      <c r="L73" s="14" t="s">
        <v>34</v>
      </c>
    </row>
    <row r="74" spans="1:12" x14ac:dyDescent="0.35">
      <c r="A74" s="3">
        <v>1073</v>
      </c>
      <c r="B74" s="2" t="s">
        <v>12</v>
      </c>
      <c r="C74" s="2">
        <v>7600</v>
      </c>
      <c r="D74" s="2">
        <v>7600</v>
      </c>
      <c r="E74" s="2">
        <v>2</v>
      </c>
      <c r="F74" s="2" t="s">
        <v>8</v>
      </c>
      <c r="G74" s="2" t="s">
        <v>11</v>
      </c>
      <c r="H74" s="4">
        <f t="shared" si="1"/>
        <v>1</v>
      </c>
      <c r="I74" s="2" t="s">
        <v>39</v>
      </c>
      <c r="J74" s="2">
        <v>44</v>
      </c>
      <c r="K74" s="2" t="s">
        <v>33</v>
      </c>
      <c r="L74" s="14" t="s">
        <v>36</v>
      </c>
    </row>
    <row r="75" spans="1:12" x14ac:dyDescent="0.35">
      <c r="A75" s="3">
        <v>1074</v>
      </c>
      <c r="B75" s="2" t="s">
        <v>24</v>
      </c>
      <c r="C75" s="2">
        <v>6500</v>
      </c>
      <c r="D75" s="2">
        <v>4000</v>
      </c>
      <c r="E75" s="2">
        <v>4</v>
      </c>
      <c r="F75" s="2" t="s">
        <v>13</v>
      </c>
      <c r="G75" s="2" t="s">
        <v>14</v>
      </c>
      <c r="H75" s="4">
        <f t="shared" si="1"/>
        <v>0.61538461538461542</v>
      </c>
      <c r="I75" s="2" t="s">
        <v>40</v>
      </c>
      <c r="J75" s="2">
        <v>92</v>
      </c>
      <c r="K75" s="2" t="s">
        <v>33</v>
      </c>
      <c r="L75" s="14" t="s">
        <v>34</v>
      </c>
    </row>
    <row r="76" spans="1:12" x14ac:dyDescent="0.35">
      <c r="A76" s="3">
        <v>1075</v>
      </c>
      <c r="B76" s="2" t="s">
        <v>25</v>
      </c>
      <c r="C76" s="2">
        <v>8200</v>
      </c>
      <c r="D76" s="2">
        <v>2000</v>
      </c>
      <c r="E76" s="2">
        <v>8</v>
      </c>
      <c r="F76" s="2" t="s">
        <v>15</v>
      </c>
      <c r="G76" s="2" t="s">
        <v>9</v>
      </c>
      <c r="H76" s="4">
        <f t="shared" si="1"/>
        <v>0.24390243902439024</v>
      </c>
      <c r="I76" s="2" t="s">
        <v>35</v>
      </c>
      <c r="J76" s="2">
        <v>174</v>
      </c>
      <c r="K76" s="2" t="s">
        <v>38</v>
      </c>
      <c r="L76" s="14" t="s">
        <v>34</v>
      </c>
    </row>
    <row r="77" spans="1:12" x14ac:dyDescent="0.35">
      <c r="A77" s="3">
        <v>1076</v>
      </c>
      <c r="B77" s="2" t="s">
        <v>7</v>
      </c>
      <c r="C77" s="2">
        <v>5800</v>
      </c>
      <c r="D77" s="2">
        <v>5800</v>
      </c>
      <c r="E77" s="2">
        <v>2</v>
      </c>
      <c r="F77" s="2" t="s">
        <v>16</v>
      </c>
      <c r="G77" s="2" t="s">
        <v>11</v>
      </c>
      <c r="H77" s="4">
        <f t="shared" si="1"/>
        <v>1</v>
      </c>
      <c r="I77" s="2" t="s">
        <v>32</v>
      </c>
      <c r="J77" s="2">
        <v>38</v>
      </c>
      <c r="K77" s="2" t="s">
        <v>33</v>
      </c>
      <c r="L77" s="14" t="s">
        <v>36</v>
      </c>
    </row>
    <row r="78" spans="1:12" x14ac:dyDescent="0.35">
      <c r="A78" s="3">
        <v>1077</v>
      </c>
      <c r="B78" s="2" t="s">
        <v>10</v>
      </c>
      <c r="C78" s="2">
        <v>7300</v>
      </c>
      <c r="D78" s="2">
        <v>5000</v>
      </c>
      <c r="E78" s="2">
        <v>4</v>
      </c>
      <c r="F78" s="2" t="s">
        <v>17</v>
      </c>
      <c r="G78" s="2" t="s">
        <v>14</v>
      </c>
      <c r="H78" s="4">
        <f t="shared" si="1"/>
        <v>0.68493150684931503</v>
      </c>
      <c r="I78" s="2" t="s">
        <v>37</v>
      </c>
      <c r="J78" s="2">
        <v>89</v>
      </c>
      <c r="K78" s="2" t="s">
        <v>33</v>
      </c>
      <c r="L78" s="14" t="s">
        <v>34</v>
      </c>
    </row>
    <row r="79" spans="1:12" x14ac:dyDescent="0.35">
      <c r="A79" s="3">
        <v>1078</v>
      </c>
      <c r="B79" s="2" t="s">
        <v>12</v>
      </c>
      <c r="C79" s="2">
        <v>9100</v>
      </c>
      <c r="D79" s="2">
        <v>3000</v>
      </c>
      <c r="E79" s="2">
        <v>7</v>
      </c>
      <c r="F79" s="2" t="s">
        <v>18</v>
      </c>
      <c r="G79" s="2" t="s">
        <v>9</v>
      </c>
      <c r="H79" s="4">
        <f t="shared" si="1"/>
        <v>0.32967032967032966</v>
      </c>
      <c r="I79" s="2" t="s">
        <v>39</v>
      </c>
      <c r="J79" s="2">
        <v>177</v>
      </c>
      <c r="K79" s="2" t="s">
        <v>38</v>
      </c>
      <c r="L79" s="14" t="s">
        <v>34</v>
      </c>
    </row>
    <row r="80" spans="1:12" x14ac:dyDescent="0.35">
      <c r="A80" s="3">
        <v>1079</v>
      </c>
      <c r="B80" s="2" t="s">
        <v>24</v>
      </c>
      <c r="C80" s="2">
        <v>6000</v>
      </c>
      <c r="D80" s="2">
        <v>6000</v>
      </c>
      <c r="E80" s="2">
        <v>2</v>
      </c>
      <c r="F80" s="2" t="s">
        <v>19</v>
      </c>
      <c r="G80" s="2" t="s">
        <v>11</v>
      </c>
      <c r="H80" s="4">
        <f t="shared" si="1"/>
        <v>1</v>
      </c>
      <c r="I80" s="2" t="s">
        <v>40</v>
      </c>
      <c r="J80" s="2">
        <v>35</v>
      </c>
      <c r="K80" s="2" t="s">
        <v>33</v>
      </c>
      <c r="L80" s="14" t="s">
        <v>36</v>
      </c>
    </row>
    <row r="81" spans="1:12" x14ac:dyDescent="0.35">
      <c r="A81" s="5">
        <v>1080</v>
      </c>
      <c r="B81" s="6" t="s">
        <v>25</v>
      </c>
      <c r="C81" s="6">
        <v>8700</v>
      </c>
      <c r="D81" s="6">
        <v>4500</v>
      </c>
      <c r="E81" s="6">
        <v>5</v>
      </c>
      <c r="F81" s="6" t="s">
        <v>8</v>
      </c>
      <c r="G81" s="6" t="s">
        <v>14</v>
      </c>
      <c r="H81" s="13">
        <f t="shared" si="1"/>
        <v>0.51724137931034486</v>
      </c>
      <c r="I81" s="6" t="s">
        <v>35</v>
      </c>
      <c r="J81" s="6">
        <v>95</v>
      </c>
      <c r="K81" s="6" t="s">
        <v>33</v>
      </c>
      <c r="L81" s="15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Pivot</vt:lpstr>
      <vt:lpstr>Account_data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Meet-Asees</dc:creator>
  <cp:lastModifiedBy>Meet-Asees</cp:lastModifiedBy>
  <dcterms:created xsi:type="dcterms:W3CDTF">2026-03-03T20:27:09Z</dcterms:created>
  <dcterms:modified xsi:type="dcterms:W3CDTF">2026-03-04T07:53:27Z</dcterms:modified>
</cp:coreProperties>
</file>